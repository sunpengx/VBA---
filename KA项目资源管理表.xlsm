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saveExternalLinkValues="0" codeName="ThisWorkbook" defaultThemeVersion="124226"/>
  <bookViews>
    <workbookView xWindow="240" yWindow="465" windowWidth="14805" windowHeight="7410" tabRatio="602" activeTab="1"/>
  </bookViews>
  <sheets>
    <sheet name="项目基本状态" sheetId="4" r:id="rId1"/>
    <sheet name="人力使用" sheetId="12" r:id="rId2"/>
    <sheet name="项目资源及状态" sheetId="10" r:id="rId3"/>
    <sheet name="项目占用人员明细" sheetId="11" r:id="rId4"/>
  </sheets>
  <definedNames>
    <definedName name="_xlnm._FilterDatabase" localSheetId="1" hidden="1">人力使用!$C$1:$C$94</definedName>
  </definedNames>
  <calcPr calcId="144525"/>
</workbook>
</file>

<file path=xl/calcChain.xml><?xml version="1.0" encoding="utf-8"?>
<calcChain xmlns="http://schemas.openxmlformats.org/spreadsheetml/2006/main">
  <c r="U21" i="11" l="1"/>
  <c r="U8" i="11"/>
  <c r="E34" i="12"/>
  <c r="E33" i="12"/>
  <c r="AF33" i="12" s="1"/>
  <c r="E32" i="12"/>
  <c r="D34" i="12"/>
  <c r="D33" i="12"/>
  <c r="D32" i="12"/>
  <c r="AF34" i="12" l="1"/>
  <c r="AF32" i="12"/>
  <c r="U19" i="11"/>
  <c r="U20" i="11"/>
  <c r="U13" i="11"/>
  <c r="U10" i="11"/>
  <c r="F3" i="10" l="1"/>
  <c r="F20" i="10"/>
  <c r="F21" i="10"/>
  <c r="E19" i="12" l="1"/>
  <c r="E18" i="12"/>
  <c r="E17" i="12"/>
  <c r="D19" i="12"/>
  <c r="D18" i="12"/>
  <c r="D17" i="12"/>
  <c r="E15" i="12"/>
  <c r="E14" i="12"/>
  <c r="E13" i="12"/>
  <c r="E12" i="12"/>
  <c r="D15" i="12"/>
  <c r="D14" i="12"/>
  <c r="D13" i="12"/>
  <c r="D12" i="12"/>
  <c r="E16" i="12"/>
  <c r="E11" i="12" l="1"/>
  <c r="D16" i="12"/>
  <c r="D11" i="12"/>
  <c r="E8" i="12"/>
  <c r="E9" i="12"/>
  <c r="E10" i="12"/>
  <c r="E20" i="12"/>
  <c r="E21" i="12"/>
  <c r="D8" i="12"/>
  <c r="D9" i="12"/>
  <c r="D10" i="12"/>
  <c r="D20" i="12"/>
  <c r="D21" i="12"/>
  <c r="E7" i="12"/>
  <c r="D7" i="12"/>
  <c r="E6" i="12" l="1"/>
  <c r="D6" i="12"/>
  <c r="E38" i="12" l="1"/>
  <c r="E37" i="12"/>
  <c r="D38" i="12"/>
  <c r="D37" i="12"/>
  <c r="E29" i="12" l="1"/>
  <c r="D29" i="12"/>
  <c r="U14" i="11"/>
  <c r="U15" i="11"/>
  <c r="U16" i="11"/>
  <c r="U17" i="11"/>
  <c r="U18" i="11"/>
  <c r="U11" i="11"/>
  <c r="U12" i="11"/>
  <c r="AD19" i="12" l="1"/>
  <c r="AF19" i="12" s="1"/>
  <c r="AD20" i="12"/>
  <c r="AE20" i="12" s="1"/>
  <c r="AE19" i="12" l="1"/>
  <c r="AF20" i="12"/>
  <c r="E28" i="12"/>
  <c r="D28" i="12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2" i="10"/>
  <c r="F23" i="10"/>
  <c r="M5" i="10"/>
  <c r="M3" i="10"/>
  <c r="M4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V3" i="11" l="1"/>
  <c r="U22" i="11" l="1"/>
  <c r="U9" i="11"/>
  <c r="U7" i="11"/>
  <c r="U6" i="11"/>
  <c r="U5" i="11"/>
  <c r="E24" i="12" l="1"/>
  <c r="D24" i="12"/>
  <c r="A1" i="11" l="1"/>
  <c r="E22" i="12" l="1"/>
  <c r="D22" i="12"/>
  <c r="AD22" i="12" l="1"/>
  <c r="AF22" i="12" s="1"/>
  <c r="A1" i="12"/>
  <c r="AD38" i="12"/>
  <c r="AF38" i="12" s="1"/>
  <c r="AE22" i="12" l="1"/>
  <c r="AD39" i="12"/>
  <c r="AF39" i="12" s="1"/>
  <c r="AE38" i="12"/>
  <c r="AD37" i="12"/>
  <c r="AF37" i="12" s="1"/>
  <c r="AD29" i="12"/>
  <c r="AE29" i="12" s="1"/>
  <c r="E27" i="12"/>
  <c r="D27" i="12"/>
  <c r="E26" i="12"/>
  <c r="D26" i="12"/>
  <c r="E25" i="12"/>
  <c r="D25" i="12"/>
  <c r="AD24" i="12"/>
  <c r="AE24" i="12" s="1"/>
  <c r="E5" i="12"/>
  <c r="D5" i="12"/>
  <c r="AD3" i="12"/>
  <c r="AE3" i="12" s="1"/>
  <c r="AD12" i="12" l="1"/>
  <c r="AF12" i="12" s="1"/>
  <c r="AD14" i="12"/>
  <c r="AF14" i="12" s="1"/>
  <c r="AD16" i="12"/>
  <c r="AF16" i="12" s="1"/>
  <c r="AF3" i="12"/>
  <c r="AD5" i="12"/>
  <c r="AF5" i="12" s="1"/>
  <c r="AD7" i="12"/>
  <c r="AF7" i="12" s="1"/>
  <c r="AD25" i="12"/>
  <c r="AE25" i="12" s="1"/>
  <c r="AD8" i="12"/>
  <c r="AF8" i="12" s="1"/>
  <c r="AD21" i="12"/>
  <c r="AE21" i="12" s="1"/>
  <c r="AD26" i="12"/>
  <c r="AF26" i="12" s="1"/>
  <c r="AD11" i="12"/>
  <c r="AF11" i="12" s="1"/>
  <c r="AD18" i="12"/>
  <c r="AF18" i="12" s="1"/>
  <c r="AF24" i="12"/>
  <c r="AD6" i="12"/>
  <c r="AF6" i="12" s="1"/>
  <c r="AD13" i="12"/>
  <c r="AF13" i="12" s="1"/>
  <c r="AD15" i="12"/>
  <c r="AE15" i="12" s="1"/>
  <c r="AD28" i="12"/>
  <c r="AF28" i="12" s="1"/>
  <c r="AE37" i="12"/>
  <c r="AE39" i="12"/>
  <c r="AD9" i="12"/>
  <c r="AF9" i="12" s="1"/>
  <c r="AD17" i="12"/>
  <c r="AF17" i="12" s="1"/>
  <c r="AD27" i="12"/>
  <c r="AF27" i="12" s="1"/>
  <c r="AD10" i="12"/>
  <c r="AF10" i="12" s="1"/>
  <c r="AF29" i="12"/>
  <c r="AE12" i="12" l="1"/>
  <c r="AF21" i="12"/>
  <c r="AE14" i="12"/>
  <c r="AE7" i="12"/>
  <c r="AE6" i="12"/>
  <c r="AE16" i="12"/>
  <c r="AF25" i="12"/>
  <c r="AE28" i="12"/>
  <c r="AE18" i="12"/>
  <c r="AE5" i="12"/>
  <c r="AF15" i="12"/>
  <c r="AE13" i="12"/>
  <c r="AE26" i="12"/>
  <c r="AE8" i="12"/>
  <c r="AE27" i="12"/>
  <c r="AE11" i="12"/>
  <c r="AE9" i="12"/>
  <c r="AE17" i="12"/>
  <c r="AE10" i="12"/>
</calcChain>
</file>

<file path=xl/sharedStrings.xml><?xml version="1.0" encoding="utf-8"?>
<sst xmlns="http://schemas.openxmlformats.org/spreadsheetml/2006/main" count="464" uniqueCount="269">
  <si>
    <t>姓  名</t>
    <phoneticPr fontId="14" type="noConversion"/>
  </si>
  <si>
    <t>锐捷</t>
    <phoneticPr fontId="18" type="noConversion"/>
  </si>
  <si>
    <t>运维</t>
    <phoneticPr fontId="13" type="noConversion"/>
  </si>
  <si>
    <t>制作</t>
    <phoneticPr fontId="13" type="noConversion"/>
  </si>
  <si>
    <t>设计</t>
    <phoneticPr fontId="13" type="noConversion"/>
  </si>
  <si>
    <t>测试</t>
    <phoneticPr fontId="13" type="noConversion"/>
  </si>
  <si>
    <t>开发</t>
    <phoneticPr fontId="13" type="noConversion"/>
  </si>
  <si>
    <t>需求</t>
    <phoneticPr fontId="18" type="noConversion"/>
  </si>
  <si>
    <t>运维</t>
    <phoneticPr fontId="13" type="noConversion"/>
  </si>
  <si>
    <t>制作</t>
    <phoneticPr fontId="13" type="noConversion"/>
  </si>
  <si>
    <t>设计</t>
    <phoneticPr fontId="13" type="noConversion"/>
  </si>
  <si>
    <t>测试</t>
    <phoneticPr fontId="13" type="noConversion"/>
  </si>
  <si>
    <t>开发</t>
    <phoneticPr fontId="13" type="noConversion"/>
  </si>
  <si>
    <t>备注</t>
    <phoneticPr fontId="18" type="noConversion"/>
  </si>
  <si>
    <t>状态</t>
    <phoneticPr fontId="13" type="noConversion"/>
  </si>
  <si>
    <t>项目上线日期</t>
    <phoneticPr fontId="13" type="noConversion"/>
  </si>
  <si>
    <t>项目报价W</t>
    <phoneticPr fontId="13" type="noConversion"/>
  </si>
  <si>
    <t>客户</t>
    <phoneticPr fontId="13" type="noConversion"/>
  </si>
  <si>
    <t>实际进度</t>
    <phoneticPr fontId="18" type="noConversion"/>
  </si>
  <si>
    <t>成员</t>
    <phoneticPr fontId="18" type="noConversion"/>
  </si>
  <si>
    <t>阶段</t>
    <phoneticPr fontId="13" type="noConversion"/>
  </si>
  <si>
    <t>项目需求</t>
    <phoneticPr fontId="13" type="noConversion"/>
  </si>
  <si>
    <t>项目名称</t>
    <phoneticPr fontId="13" type="noConversion"/>
  </si>
  <si>
    <t>项目汇总说明</t>
    <phoneticPr fontId="13" type="noConversion"/>
  </si>
  <si>
    <t>安利</t>
    <phoneticPr fontId="13" type="noConversion"/>
  </si>
  <si>
    <t>郭海平</t>
  </si>
  <si>
    <t>董莺</t>
  </si>
  <si>
    <t>开发</t>
    <phoneticPr fontId="13" type="noConversion"/>
  </si>
  <si>
    <t>项目经理</t>
    <phoneticPr fontId="13" type="noConversion"/>
  </si>
  <si>
    <t>产品</t>
    <phoneticPr fontId="13" type="noConversion"/>
  </si>
  <si>
    <t>彭奇来</t>
    <phoneticPr fontId="18" type="noConversion"/>
  </si>
  <si>
    <t>定制app</t>
    <phoneticPr fontId="13" type="noConversion"/>
  </si>
  <si>
    <t>产品</t>
    <phoneticPr fontId="18" type="noConversion"/>
  </si>
  <si>
    <t>需求</t>
    <phoneticPr fontId="13" type="noConversion"/>
  </si>
  <si>
    <t>开发</t>
    <phoneticPr fontId="13" type="noConversion"/>
  </si>
  <si>
    <t>庄慧</t>
    <phoneticPr fontId="13" type="noConversion"/>
  </si>
  <si>
    <t>裴珍
谭淑娟</t>
    <phoneticPr fontId="13" type="noConversion"/>
  </si>
  <si>
    <t>人数</t>
    <phoneticPr fontId="13" type="noConversion"/>
  </si>
  <si>
    <t>产品</t>
    <phoneticPr fontId="13" type="noConversion"/>
  </si>
  <si>
    <t>彭奇来 董莺</t>
  </si>
  <si>
    <t>樊晓峰</t>
  </si>
  <si>
    <t>郭海平</t>
    <phoneticPr fontId="13" type="noConversion"/>
  </si>
  <si>
    <t>进度</t>
    <phoneticPr fontId="13" type="noConversion"/>
  </si>
  <si>
    <t>黄宗祺</t>
  </si>
  <si>
    <t>长江商学院EE项目</t>
    <phoneticPr fontId="13" type="noConversion"/>
  </si>
  <si>
    <t>定制app</t>
    <phoneticPr fontId="18" type="noConversion"/>
  </si>
  <si>
    <t>锐捷</t>
    <phoneticPr fontId="13" type="noConversion"/>
  </si>
  <si>
    <t>文思海辉</t>
    <phoneticPr fontId="13" type="noConversion"/>
  </si>
  <si>
    <t>李伯悦</t>
    <phoneticPr fontId="13" type="noConversion"/>
  </si>
  <si>
    <t>项目名称</t>
    <phoneticPr fontId="18" type="noConversion"/>
  </si>
  <si>
    <t>项目经理</t>
    <phoneticPr fontId="18" type="noConversion"/>
  </si>
  <si>
    <t>计划进度</t>
    <phoneticPr fontId="18" type="noConversion"/>
  </si>
  <si>
    <t>实际进度</t>
    <phoneticPr fontId="18" type="noConversion"/>
  </si>
  <si>
    <t>状态</t>
    <phoneticPr fontId="18" type="noConversion"/>
  </si>
  <si>
    <t>本周工作</t>
    <phoneticPr fontId="13" type="noConversion"/>
  </si>
  <si>
    <t>本周问题</t>
    <phoneticPr fontId="13" type="noConversion"/>
  </si>
  <si>
    <t>下周工作</t>
    <phoneticPr fontId="13" type="noConversion"/>
  </si>
  <si>
    <t>上线日期</t>
    <phoneticPr fontId="13" type="noConversion"/>
  </si>
  <si>
    <t>剩余天数</t>
    <phoneticPr fontId="18" type="noConversion"/>
  </si>
  <si>
    <t>备注</t>
    <phoneticPr fontId="18" type="noConversion"/>
  </si>
  <si>
    <t>需求</t>
  </si>
  <si>
    <t>需求</t>
    <phoneticPr fontId="13" type="noConversion"/>
  </si>
  <si>
    <t>朵唯</t>
    <phoneticPr fontId="13" type="noConversion"/>
  </si>
  <si>
    <t>瀚华金控</t>
    <phoneticPr fontId="13" type="noConversion"/>
  </si>
  <si>
    <t>济南联通</t>
    <phoneticPr fontId="13" type="noConversion"/>
  </si>
  <si>
    <t>雀巢冰淇淋</t>
    <phoneticPr fontId="13" type="noConversion"/>
  </si>
  <si>
    <t>周大福东北</t>
    <phoneticPr fontId="13" type="noConversion"/>
  </si>
  <si>
    <t>说明</t>
    <phoneticPr fontId="18" type="noConversion"/>
  </si>
  <si>
    <t>项目经理</t>
    <phoneticPr fontId="18" type="noConversion"/>
  </si>
  <si>
    <t>济南联通</t>
    <phoneticPr fontId="13" type="noConversion"/>
  </si>
  <si>
    <t>李洋</t>
  </si>
  <si>
    <t>韩丹丹</t>
  </si>
  <si>
    <t>李伟</t>
  </si>
  <si>
    <t>宗志诚</t>
  </si>
  <si>
    <t>周祥宇</t>
  </si>
  <si>
    <t>张文诏</t>
  </si>
  <si>
    <t>长江商学院EE</t>
    <phoneticPr fontId="18" type="noConversion"/>
  </si>
  <si>
    <t>雀巢冰淇淋</t>
    <phoneticPr fontId="18" type="noConversion"/>
  </si>
  <si>
    <t>周大福东北</t>
    <phoneticPr fontId="18" type="noConversion"/>
  </si>
  <si>
    <t>文思海辉</t>
    <phoneticPr fontId="18" type="noConversion"/>
  </si>
  <si>
    <t>郭海平</t>
    <phoneticPr fontId="18" type="noConversion"/>
  </si>
  <si>
    <t>黄宗祺</t>
    <phoneticPr fontId="18" type="noConversion"/>
  </si>
  <si>
    <t>李伯悦</t>
    <phoneticPr fontId="18" type="noConversion"/>
  </si>
  <si>
    <t>上线日期</t>
    <phoneticPr fontId="18" type="noConversion"/>
  </si>
  <si>
    <t>多喜爱</t>
    <phoneticPr fontId="13" type="noConversion"/>
  </si>
  <si>
    <t>李伯悦</t>
    <phoneticPr fontId="13" type="noConversion"/>
  </si>
  <si>
    <t>合同额（万）</t>
    <phoneticPr fontId="18" type="noConversion"/>
  </si>
  <si>
    <t>事业部</t>
    <phoneticPr fontId="14" type="noConversion"/>
  </si>
  <si>
    <t>职能</t>
    <phoneticPr fontId="14" type="noConversion"/>
  </si>
  <si>
    <t>参与项目情况</t>
    <phoneticPr fontId="18" type="noConversion"/>
  </si>
  <si>
    <t>周期开始时间</t>
    <phoneticPr fontId="13" type="noConversion"/>
  </si>
  <si>
    <t>周期结束时间</t>
    <phoneticPr fontId="13" type="noConversion"/>
  </si>
  <si>
    <t>第一次参加的项目</t>
    <phoneticPr fontId="13" type="noConversion"/>
  </si>
  <si>
    <t>进入时间</t>
    <phoneticPr fontId="13" type="noConversion"/>
  </si>
  <si>
    <t>退出时间</t>
    <phoneticPr fontId="13" type="noConversion"/>
  </si>
  <si>
    <t>第二次参加的项目</t>
    <phoneticPr fontId="13" type="noConversion"/>
  </si>
  <si>
    <t>第三次参加的项目</t>
    <phoneticPr fontId="13" type="noConversion"/>
  </si>
  <si>
    <t>第四次参加的项目</t>
    <phoneticPr fontId="13" type="noConversion"/>
  </si>
  <si>
    <t>第五次参加的项目</t>
    <phoneticPr fontId="13" type="noConversion"/>
  </si>
  <si>
    <t>第六次参加的项目</t>
    <phoneticPr fontId="13" type="noConversion"/>
  </si>
  <si>
    <t>第七次参加的项目</t>
    <phoneticPr fontId="13" type="noConversion"/>
  </si>
  <si>
    <t>第八次参加的项目</t>
    <phoneticPr fontId="13" type="noConversion"/>
  </si>
  <si>
    <t>项目中天数</t>
    <phoneticPr fontId="13" type="noConversion"/>
  </si>
  <si>
    <t>项目外天数</t>
    <phoneticPr fontId="13" type="noConversion"/>
  </si>
  <si>
    <t>项目占比</t>
    <phoneticPr fontId="13" type="noConversion"/>
  </si>
  <si>
    <t>(注：季度周期只需更改第一行)</t>
    <phoneticPr fontId="13" type="noConversion"/>
  </si>
  <si>
    <t>行业事业部</t>
    <phoneticPr fontId="14" type="noConversion"/>
  </si>
  <si>
    <t>李洋</t>
    <phoneticPr fontId="14" type="noConversion"/>
  </si>
  <si>
    <t>说明：计算允许出现&gt;100%的情况，一天同时在两个项目中计算为2天</t>
    <phoneticPr fontId="13" type="noConversion"/>
  </si>
  <si>
    <t>济南联通</t>
    <phoneticPr fontId="14" type="noConversion"/>
  </si>
  <si>
    <t>陈晓亮</t>
    <phoneticPr fontId="14" type="noConversion"/>
  </si>
  <si>
    <t>文思海辉</t>
    <phoneticPr fontId="14" type="noConversion"/>
  </si>
  <si>
    <t>朵唯</t>
  </si>
  <si>
    <t>刘英岩</t>
  </si>
  <si>
    <t>汉堡王</t>
  </si>
  <si>
    <t>许建飞</t>
  </si>
  <si>
    <t>董莺</t>
    <phoneticPr fontId="14" type="noConversion"/>
  </si>
  <si>
    <t>项目</t>
    <phoneticPr fontId="14" type="noConversion"/>
  </si>
  <si>
    <t>周大福东北</t>
    <phoneticPr fontId="14" type="noConversion"/>
  </si>
  <si>
    <t>李伯悦</t>
    <phoneticPr fontId="14" type="noConversion"/>
  </si>
  <si>
    <t>备注</t>
    <phoneticPr fontId="13" type="noConversion"/>
  </si>
  <si>
    <t>外包（杨素生）</t>
    <phoneticPr fontId="13" type="noConversion"/>
  </si>
  <si>
    <t>外包</t>
    <phoneticPr fontId="13" type="noConversion"/>
  </si>
  <si>
    <t>董莺</t>
    <phoneticPr fontId="13" type="noConversion"/>
  </si>
  <si>
    <t>郭海平</t>
    <phoneticPr fontId="13" type="noConversion"/>
  </si>
  <si>
    <t>黄宗祺</t>
    <phoneticPr fontId="13" type="noConversion"/>
  </si>
  <si>
    <t>陈晓亮</t>
    <phoneticPr fontId="18" type="noConversion"/>
  </si>
  <si>
    <t>项目进度表（根据最新的周报表更新）</t>
    <phoneticPr fontId="13" type="noConversion"/>
  </si>
  <si>
    <t>出项目日期</t>
    <phoneticPr fontId="18" type="noConversion"/>
  </si>
  <si>
    <t>开发人员占用表</t>
    <phoneticPr fontId="18" type="noConversion"/>
  </si>
  <si>
    <t>疯狂钢琴</t>
    <phoneticPr fontId="13" type="noConversion"/>
  </si>
  <si>
    <t>疯狂钢琴</t>
    <phoneticPr fontId="18" type="noConversion"/>
  </si>
  <si>
    <t>卡骆驰</t>
    <phoneticPr fontId="13" type="noConversion"/>
  </si>
  <si>
    <t>维果清三期</t>
    <phoneticPr fontId="13" type="noConversion"/>
  </si>
  <si>
    <t>徐美</t>
    <phoneticPr fontId="13" type="noConversion"/>
  </si>
  <si>
    <t>立项日期</t>
    <phoneticPr fontId="18" type="noConversion"/>
  </si>
  <si>
    <t xml:space="preserve">汉堡王 </t>
    <phoneticPr fontId="13" type="noConversion"/>
  </si>
  <si>
    <t>周大福东北</t>
    <phoneticPr fontId="13" type="noConversion"/>
  </si>
  <si>
    <t>疯狂钢琴</t>
    <phoneticPr fontId="13" type="noConversion"/>
  </si>
  <si>
    <t>多喜爱</t>
    <phoneticPr fontId="14" type="noConversion"/>
  </si>
  <si>
    <t>提测日期</t>
    <phoneticPr fontId="13" type="noConversion"/>
  </si>
  <si>
    <t>徐美</t>
    <phoneticPr fontId="13" type="noConversion"/>
  </si>
  <si>
    <t>拉卡拉</t>
  </si>
  <si>
    <t>彭奇来</t>
    <phoneticPr fontId="13" type="noConversion"/>
  </si>
  <si>
    <t>瀚华金控</t>
  </si>
  <si>
    <t>郭超</t>
  </si>
  <si>
    <t>屈晓雪 丁向样</t>
  </si>
  <si>
    <t>Annie</t>
  </si>
  <si>
    <t>顺丰快递</t>
    <phoneticPr fontId="13" type="noConversion"/>
  </si>
  <si>
    <t>维果清二期</t>
    <phoneticPr fontId="13" type="noConversion"/>
  </si>
  <si>
    <t>产品</t>
  </si>
  <si>
    <t>开发</t>
  </si>
  <si>
    <t>测试</t>
  </si>
  <si>
    <t>设计</t>
  </si>
  <si>
    <t>制作</t>
  </si>
  <si>
    <t>运维</t>
  </si>
  <si>
    <t>姜日新</t>
  </si>
  <si>
    <t>杨凯</t>
  </si>
  <si>
    <t>吕五龙</t>
  </si>
  <si>
    <t>李春晖</t>
  </si>
  <si>
    <t>达威</t>
  </si>
  <si>
    <t>胡昌军</t>
    <phoneticPr fontId="13" type="noConversion"/>
  </si>
  <si>
    <t>韩丹丹、周祥宇</t>
    <phoneticPr fontId="13" type="noConversion"/>
  </si>
  <si>
    <t>李新新、曹旺</t>
    <phoneticPr fontId="13" type="noConversion"/>
  </si>
  <si>
    <t>外包（杨素生）</t>
    <phoneticPr fontId="13" type="noConversion"/>
  </si>
  <si>
    <t>张文诏、刘英岩、许建飞</t>
    <phoneticPr fontId="13" type="noConversion"/>
  </si>
  <si>
    <t>多喜爱</t>
  </si>
  <si>
    <t>雀巢冰淇淋</t>
    <phoneticPr fontId="13" type="noConversion"/>
  </si>
  <si>
    <t>测试</t>
    <phoneticPr fontId="13" type="noConversion"/>
  </si>
  <si>
    <t>爱尔康大客户代码功能</t>
    <phoneticPr fontId="13" type="noConversion"/>
  </si>
  <si>
    <t>待定</t>
    <phoneticPr fontId="18" type="noConversion"/>
  </si>
  <si>
    <t>卡骆驰</t>
    <phoneticPr fontId="13" type="noConversion"/>
  </si>
  <si>
    <t>汉堡王</t>
    <phoneticPr fontId="13" type="noConversion"/>
  </si>
  <si>
    <t>拉卡拉二期</t>
    <phoneticPr fontId="13" type="noConversion"/>
  </si>
  <si>
    <t>朵唯</t>
    <phoneticPr fontId="13" type="noConversion"/>
  </si>
  <si>
    <t>瀚华金控</t>
    <phoneticPr fontId="13" type="noConversion"/>
  </si>
  <si>
    <t>顺丰快递</t>
    <phoneticPr fontId="13" type="noConversion"/>
  </si>
  <si>
    <t>海信</t>
    <phoneticPr fontId="13" type="noConversion"/>
  </si>
  <si>
    <t>维果清</t>
    <phoneticPr fontId="13" type="noConversion"/>
  </si>
  <si>
    <t>阳光飞轮</t>
    <phoneticPr fontId="13" type="noConversion"/>
  </si>
  <si>
    <t>多喜爱</t>
    <phoneticPr fontId="13" type="noConversion"/>
  </si>
  <si>
    <t>济南联通</t>
    <phoneticPr fontId="13" type="noConversion"/>
  </si>
  <si>
    <t>长江商学院EE</t>
    <phoneticPr fontId="13" type="noConversion"/>
  </si>
  <si>
    <t>雀巢冰淇淋</t>
    <phoneticPr fontId="13" type="noConversion"/>
  </si>
  <si>
    <t>周大福东北</t>
    <phoneticPr fontId="13" type="noConversion"/>
  </si>
  <si>
    <t>锐捷</t>
    <phoneticPr fontId="13" type="noConversion"/>
  </si>
  <si>
    <t>文思海辉二期</t>
    <phoneticPr fontId="13" type="noConversion"/>
  </si>
  <si>
    <t>疯狂钢琴微信定制项目</t>
    <phoneticPr fontId="13" type="noConversion"/>
  </si>
  <si>
    <t>爱尔康</t>
    <phoneticPr fontId="13" type="noConversion"/>
  </si>
  <si>
    <t>雀巢冰淇淋运营</t>
    <phoneticPr fontId="13" type="noConversion"/>
  </si>
  <si>
    <t>1、卡骆驰微博用户画像分析及竞品分析，引导用户就粉丝数据收取费用，目前还在沟通过程中。10%
2、卡骆驰世界杯活动用户数据分析，并提供给其crm。100%</t>
    <phoneticPr fontId="13" type="noConversion"/>
  </si>
  <si>
    <t>1、拉卡拉客服系统故障解决方案探讨及时趣平台系统优化。60%
2、拉卡拉二期需求明确，商务洽谈明确后启动，下周内部会先行立项启动开发工作。10%</t>
    <phoneticPr fontId="13" type="noConversion"/>
  </si>
  <si>
    <t>朵唯BUG修改。4个问题，目前已经解决2个，正在进行其他问题，周末加班完成。50%</t>
    <phoneticPr fontId="13" type="noConversion"/>
  </si>
  <si>
    <t xml:space="preserve"> </t>
    <phoneticPr fontId="13" type="noConversion"/>
  </si>
  <si>
    <t>瀚华二期需求沟通及技术沟通，等待商务明确后启动。目前BUG修改阶段，反馈没有复现提出的问题，但其他几个优化需求目前没有相关人员来做。</t>
    <phoneticPr fontId="13" type="noConversion"/>
  </si>
  <si>
    <t>1、项目上线，并将给客户申请主账号，并将新浪，腾讯，人人，豆瓣加到集团和分公司主账号
2、待客户试用，回复问题。</t>
    <phoneticPr fontId="13" type="noConversion"/>
  </si>
  <si>
    <t>海信加入总公司与分公司帐号，并在下周一确认客户需求方案，并给客户回复</t>
    <phoneticPr fontId="18" type="noConversion"/>
  </si>
  <si>
    <t>1、二期用户绑定功能测试，并提交客户确认；
2、二期功能上线；
3、小店开发，遇到接口返回-1问题，并查找原因；
4、给客户提出修改方案，提供url。</t>
    <phoneticPr fontId="13" type="noConversion"/>
  </si>
  <si>
    <t>待定</t>
    <phoneticPr fontId="13" type="noConversion"/>
  </si>
  <si>
    <t>承诺书更新，排行榜页面样式及显示个数修改。经常修改承诺书关闭时间。</t>
    <phoneticPr fontId="13" type="noConversion"/>
  </si>
  <si>
    <t>1、和客户确认勋章兑换，大转盘，优惠卷，用户管理中心的需求确认；
2、问卷调查开发，下周提测；
3、活动开发，只进行了刮刮卡；
4、统计报表，新开发3张完成，并提测。还有一张需要问卷，活动的支持；
5、小票接口再次确认，并执行；
6、原型修改。可能会实时更新。</t>
    <phoneticPr fontId="13" type="noConversion"/>
  </si>
  <si>
    <t>1、多喜爱问卷因为换人需要延期，由周祥宇更换成宗志诚，熟悉代码需要时间，后期其他人员再行介入和维护难度增加。
2、7.17和多喜爱客户确认原型和设计图，并增加抢红包和试用评论功能；相应让销售追加费用；</t>
    <phoneticPr fontId="18" type="noConversion"/>
  </si>
  <si>
    <t>1、各种修改内容+各活动新需求+页面美化需求；
2、修改剩余需求变更，剩20%待修改；
3、提出砸金蛋修改需求，并修改；
4、提出刮刮卡，大转盘需求，并修改；
5、修改的问题待客户确认；
6、周五又提出新修改意见。需要评估工期。</t>
    <phoneticPr fontId="13" type="noConversion"/>
  </si>
  <si>
    <r>
      <rPr>
        <b/>
        <sz val="11"/>
        <color theme="1"/>
        <rFont val="微软雅黑"/>
        <family val="2"/>
        <charset val="134"/>
      </rPr>
      <t>原因</t>
    </r>
    <r>
      <rPr>
        <sz val="11"/>
        <color theme="1"/>
        <rFont val="微软雅黑"/>
        <family val="2"/>
        <charset val="134"/>
      </rPr>
      <t>：周三下午客户要求的权限修改，工程师周四上午就已完成，周四下班前测试已完成。周五早晨上线，延迟到中午12点40才上线。上线后发现功能未实现，重新排查发现上线文件不全，不得不一直让客户等待。</t>
    </r>
    <phoneticPr fontId="18" type="noConversion"/>
  </si>
  <si>
    <t>27项修改意见修改</t>
    <phoneticPr fontId="13" type="noConversion"/>
  </si>
  <si>
    <t>1、近期课程更新；
2、教授观点更新；
3、校友思享更新；
4、新闻聚焦更新；
5、艺述长江更新；
6、长江悦读更新；
7、活动预告更新；</t>
    <phoneticPr fontId="13" type="noConversion"/>
  </si>
  <si>
    <t>人员信息更新；
新图文minisite新样式上线，并让客户确认。</t>
    <phoneticPr fontId="13" type="noConversion"/>
  </si>
  <si>
    <t>1、今日金价重新设计、开发、提测；
2、品牌历史重新设计、开发；
3、产品系列打开速度优化；
4、抢红包七夕福袋版重新设计、开发；
5、身边的周大福lbs添加一键拨号功能，banner图修改；
6、产品系列重新设计、开发及效果添加；</t>
    <phoneticPr fontId="13" type="noConversion"/>
  </si>
  <si>
    <t>1、手机端-修改内容图片，放大显示尺寸。已上线
2、手机端-去掉列表详情页的标题。已上线
3、手机端-日程标题换行。已上线
4、内容页和列表页点击图片能够放大。已上线
5、手机页面日程字多会乱。已上线
6、列表页的题目只能自动换行。已上线</t>
    <phoneticPr fontId="18" type="noConversion"/>
  </si>
  <si>
    <r>
      <rPr>
        <b/>
        <sz val="11"/>
        <color theme="1"/>
        <rFont val="微软雅黑"/>
        <family val="2"/>
        <charset val="134"/>
      </rPr>
      <t>原因：</t>
    </r>
    <r>
      <rPr>
        <sz val="11"/>
        <color theme="1"/>
        <rFont val="微软雅黑"/>
        <family val="2"/>
        <charset val="134"/>
      </rPr>
      <t xml:space="preserve">周四下午锐捷提出紧急修改几个问题，php工程师2个小时修改完成后，协调测试，并跟测试讲清楚要测试完成才能下班。但是测试未经沟通就下班。原定周五早晨上班就上线，延迟到中午12点40才上线。给客户造成了极大的影响。
</t>
    </r>
    <r>
      <rPr>
        <b/>
        <sz val="11"/>
        <color theme="1"/>
        <rFont val="微软雅黑"/>
        <family val="2"/>
        <charset val="134"/>
      </rPr>
      <t>需明确：</t>
    </r>
    <r>
      <rPr>
        <sz val="11"/>
        <color theme="1"/>
        <rFont val="微软雅黑"/>
        <family val="2"/>
        <charset val="134"/>
      </rPr>
      <t>测试是否有紧急测试流程。这种情况造成的客户影响谁来负责。测试流程和上线流程是否能简化。如果所有的问题全由项目经理。但是项目经理没有权限是不是很不公平。</t>
    </r>
    <phoneticPr fontId="18" type="noConversion"/>
  </si>
  <si>
    <t>1、提供发布后微博链接：如果想转发srp发的微博，还要到weibo上去找。增加srp平台发布微博成功后，获取weibo平台连接。已完成
2、运营统计、定制报表可选时间段问题：选择时间段后，时间段返还本周时间，并不是保留选择的时间。已完成
3、6月26号数据没有。 请查找原因。已完成</t>
    <phoneticPr fontId="18" type="noConversion"/>
  </si>
  <si>
    <t>1、活动管理 90%
2、二维码签到 （开发完成）
3、积分兑换 （开发完成）
4、lbs  未开始
5、会员管理    60%
6、老师在线 （开发完成）</t>
    <phoneticPr fontId="18" type="noConversion"/>
  </si>
  <si>
    <t>1、7.14爱尔康刮刮卡（34500）数据生成；
2、7.15爱尔康大客户代码功能开发立项，上线时间（2014-07-22）；
3、7-16爱尔康9-12月积分双倍回馈或刮刮卡直兑功能项目调研。开发时间待定；
4、7.18爱尔康刮刮卡数据导出功能优化，后台可按需求自助导出数据。开发时间待定；</t>
    <phoneticPr fontId="13" type="noConversion"/>
  </si>
  <si>
    <t>1、7.14雀巢前端列表页样式验收。运营图片制作完成；
2、7.14雀巢经销商验证功能优化立项，星期四测试；
3、7.15雀巢后台经销商权限修改组别，前端权限并未变更BUG修改。开发时间待定；</t>
    <phoneticPr fontId="13" type="noConversion"/>
  </si>
  <si>
    <t>上线日期推迟到了6.30</t>
    <phoneticPr fontId="13" type="noConversion"/>
  </si>
  <si>
    <t>由8.5改为8.14</t>
    <phoneticPr fontId="13" type="noConversion"/>
  </si>
  <si>
    <t>雀巢冰淇淋</t>
  </si>
  <si>
    <t>占用</t>
  </si>
  <si>
    <t>文思海辉</t>
  </si>
  <si>
    <t>济南联通</t>
  </si>
  <si>
    <t>行业事业部</t>
  </si>
  <si>
    <t>张轶强</t>
  </si>
  <si>
    <t>孙灿光</t>
  </si>
  <si>
    <t>疯狂钢琴</t>
  </si>
  <si>
    <t>李新新</t>
  </si>
  <si>
    <t>研发（实习）</t>
  </si>
  <si>
    <t>外包（杨素生）</t>
  </si>
  <si>
    <t>开发人数</t>
    <phoneticPr fontId="18" type="noConversion"/>
  </si>
  <si>
    <t>疯狂钢琴</t>
    <phoneticPr fontId="13" type="noConversion"/>
  </si>
  <si>
    <t>维果清微官网小图标</t>
    <phoneticPr fontId="13" type="noConversion"/>
  </si>
  <si>
    <t>待定</t>
    <phoneticPr fontId="13" type="noConversion"/>
  </si>
  <si>
    <t>卡骆驰</t>
  </si>
  <si>
    <t>长期维护</t>
  </si>
  <si>
    <t>瀚华通二期</t>
    <phoneticPr fontId="13" type="noConversion"/>
  </si>
  <si>
    <t>赵辉</t>
    <phoneticPr fontId="13" type="noConversion"/>
  </si>
  <si>
    <t>徐海城</t>
  </si>
  <si>
    <t>爱尔康大客户代码功能</t>
  </si>
  <si>
    <t>研发（主管）</t>
    <phoneticPr fontId="14" type="noConversion"/>
  </si>
  <si>
    <t>研发（高级）</t>
    <phoneticPr fontId="13" type="noConversion"/>
  </si>
  <si>
    <t>研发（中级）</t>
    <phoneticPr fontId="13" type="noConversion"/>
  </si>
  <si>
    <t>研发（初级）</t>
    <phoneticPr fontId="13" type="noConversion"/>
  </si>
  <si>
    <t>维果清微小店开发</t>
    <phoneticPr fontId="13" type="noConversion"/>
  </si>
  <si>
    <t>维果清微小店开发</t>
    <phoneticPr fontId="13" type="noConversion"/>
  </si>
  <si>
    <t>黄宗祺</t>
    <phoneticPr fontId="14" type="noConversion"/>
  </si>
  <si>
    <t>产品研发（高级）</t>
    <phoneticPr fontId="13" type="noConversion"/>
  </si>
  <si>
    <t>产品研发（中级）</t>
    <phoneticPr fontId="13" type="noConversion"/>
  </si>
  <si>
    <t>维果清微小店开发</t>
  </si>
  <si>
    <t>待定</t>
  </si>
  <si>
    <t>海信</t>
    <phoneticPr fontId="13" type="noConversion"/>
  </si>
  <si>
    <t>维果清</t>
    <phoneticPr fontId="13" type="noConversion"/>
  </si>
  <si>
    <t>待定</t>
    <phoneticPr fontId="13" type="noConversion"/>
  </si>
  <si>
    <t>雀巢冰淇淋</t>
    <phoneticPr fontId="13" type="noConversion"/>
  </si>
  <si>
    <t>海信</t>
    <phoneticPr fontId="18" type="noConversion"/>
  </si>
  <si>
    <t>徐美</t>
    <phoneticPr fontId="18" type="noConversion"/>
  </si>
  <si>
    <t>爱尔康</t>
    <phoneticPr fontId="18" type="noConversion"/>
  </si>
  <si>
    <t>拉卡拉</t>
    <phoneticPr fontId="13" type="noConversion"/>
  </si>
  <si>
    <t>多喜爱门槛及小票</t>
  </si>
  <si>
    <t>多喜爱门槛及小票</t>
    <phoneticPr fontId="13" type="noConversion"/>
  </si>
  <si>
    <t>屈晓雪</t>
    <phoneticPr fontId="13" type="noConversion"/>
  </si>
  <si>
    <t>前端</t>
    <phoneticPr fontId="13" type="noConversion"/>
  </si>
  <si>
    <t>李春娜</t>
    <phoneticPr fontId="13" type="noConversion"/>
  </si>
  <si>
    <t>王晨晨</t>
    <phoneticPr fontId="13" type="noConversion"/>
  </si>
  <si>
    <t>多喜爱</t>
    <phoneticPr fontId="13" type="noConversion"/>
  </si>
  <si>
    <t>维果清三期</t>
    <phoneticPr fontId="13" type="noConversion"/>
  </si>
  <si>
    <t>待定</t>
    <phoneticPr fontId="13" type="noConversion"/>
  </si>
  <si>
    <t>研发（主管）</t>
    <phoneticPr fontId="14" type="noConversion"/>
  </si>
  <si>
    <t>刘英岩</t>
    <phoneticPr fontId="13" type="noConversion"/>
  </si>
  <si>
    <t>待定</t>
    <phoneticPr fontId="18" type="noConversion"/>
  </si>
  <si>
    <t>多喜爱、维果清问卷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</si>
</sst>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&quot;月&quot;d&quot;日&quot;;@"/>
  </numFmts>
  <fonts count="39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0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16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宋体"/>
      <family val="2"/>
      <charset val="134"/>
      <scheme val="minor"/>
    </font>
    <font>
      <b/>
      <sz val="18"/>
      <color theme="0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b/>
      <sz val="11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name val="宋体"/>
      <family val="3"/>
      <charset val="134"/>
    </font>
    <font>
      <sz val="10"/>
      <color rgb="FFFF0000"/>
      <name val="微软雅黑"/>
      <family val="2"/>
      <charset val="134"/>
    </font>
    <font>
      <u/>
      <sz val="11"/>
      <color theme="10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sz val="11"/>
      <name val="微软雅黑"/>
      <family val="2"/>
      <charset val="134"/>
    </font>
    <font>
      <sz val="12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sz val="12"/>
      <name val="微软雅黑"/>
      <family val="2"/>
      <charset val="134"/>
    </font>
    <font>
      <sz val="11"/>
      <color rgb="FF0000FF"/>
      <name val="微软雅黑"/>
      <family val="2"/>
      <charset val="134"/>
    </font>
    <font>
      <sz val="12"/>
      <color rgb="FF1F497D"/>
      <name val="微软雅黑"/>
      <family val="2"/>
      <charset val="134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1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0" fillId="0" borderId="0">
      <alignment vertical="center"/>
    </xf>
    <xf numFmtId="0" fontId="30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83">
    <xf numFmtId="0" fontId="0" fillId="0" borderId="0" xfId="0"/>
    <xf numFmtId="0" fontId="11" fillId="0" borderId="0" xfId="1">
      <alignment vertical="center"/>
    </xf>
    <xf numFmtId="0" fontId="11" fillId="0" borderId="0" xfId="1" applyAlignment="1">
      <alignment horizontal="center" vertical="center"/>
    </xf>
    <xf numFmtId="0" fontId="19" fillId="6" borderId="1" xfId="1" applyFont="1" applyFill="1" applyBorder="1" applyAlignment="1">
      <alignment vertical="center"/>
    </xf>
    <xf numFmtId="0" fontId="11" fillId="3" borderId="0" xfId="1" applyFill="1">
      <alignment vertical="center"/>
    </xf>
    <xf numFmtId="0" fontId="11" fillId="7" borderId="0" xfId="1" applyFill="1">
      <alignment vertical="center"/>
    </xf>
    <xf numFmtId="0" fontId="25" fillId="10" borderId="1" xfId="3" applyNumberFormat="1" applyFont="1" applyBorder="1" applyAlignment="1">
      <alignment horizontal="center" vertical="center"/>
    </xf>
    <xf numFmtId="0" fontId="19" fillId="6" borderId="1" xfId="1" applyFont="1" applyFill="1" applyBorder="1" applyAlignment="1">
      <alignment vertical="center" wrapText="1"/>
    </xf>
    <xf numFmtId="0" fontId="22" fillId="6" borderId="5" xfId="1" applyFont="1" applyFill="1" applyBorder="1" applyAlignment="1">
      <alignment horizontal="center" vertical="center"/>
    </xf>
    <xf numFmtId="49" fontId="25" fillId="3" borderId="1" xfId="3" applyNumberFormat="1" applyFont="1" applyFill="1" applyBorder="1" applyAlignment="1">
      <alignment horizontal="center" vertical="center"/>
    </xf>
    <xf numFmtId="0" fontId="30" fillId="0" borderId="1" xfId="6" applyBorder="1" applyAlignment="1">
      <alignment horizontal="center" vertical="center"/>
    </xf>
    <xf numFmtId="0" fontId="25" fillId="14" borderId="1" xfId="3" applyNumberFormat="1" applyFont="1" applyFill="1" applyBorder="1" applyAlignment="1">
      <alignment horizontal="center" vertical="center"/>
    </xf>
    <xf numFmtId="0" fontId="11" fillId="0" borderId="0" xfId="1" applyFont="1" applyFill="1">
      <alignment vertical="center"/>
    </xf>
    <xf numFmtId="0" fontId="19" fillId="12" borderId="1" xfId="1" applyFont="1" applyFill="1" applyBorder="1" applyAlignment="1">
      <alignment vertical="center"/>
    </xf>
    <xf numFmtId="0" fontId="11" fillId="0" borderId="0" xfId="1" applyFill="1">
      <alignment vertical="center"/>
    </xf>
    <xf numFmtId="0" fontId="9" fillId="0" borderId="0" xfId="9">
      <alignment vertical="center"/>
    </xf>
    <xf numFmtId="176" fontId="21" fillId="0" borderId="1" xfId="9" applyNumberFormat="1" applyFont="1" applyBorder="1">
      <alignment vertical="center"/>
    </xf>
    <xf numFmtId="9" fontId="21" fillId="0" borderId="1" xfId="9" applyNumberFormat="1" applyFont="1" applyBorder="1">
      <alignment vertical="center"/>
    </xf>
    <xf numFmtId="0" fontId="21" fillId="0" borderId="1" xfId="10" applyFont="1" applyBorder="1" applyAlignment="1">
      <alignment horizontal="left" vertical="center" wrapText="1"/>
    </xf>
    <xf numFmtId="14" fontId="21" fillId="0" borderId="1" xfId="9" applyNumberFormat="1" applyFont="1" applyBorder="1" applyAlignment="1">
      <alignment horizontal="center" vertical="center"/>
    </xf>
    <xf numFmtId="0" fontId="21" fillId="0" borderId="1" xfId="9" applyNumberFormat="1" applyFont="1" applyBorder="1">
      <alignment vertical="center"/>
    </xf>
    <xf numFmtId="0" fontId="21" fillId="0" borderId="1" xfId="9" applyFont="1" applyBorder="1" applyAlignment="1">
      <alignment horizontal="left" vertical="center"/>
    </xf>
    <xf numFmtId="0" fontId="21" fillId="0" borderId="1" xfId="9" applyFont="1" applyBorder="1" applyAlignment="1">
      <alignment horizontal="center" vertical="center"/>
    </xf>
    <xf numFmtId="14" fontId="21" fillId="0" borderId="1" xfId="10" applyNumberFormat="1" applyFont="1" applyBorder="1" applyAlignment="1">
      <alignment horizontal="center" vertical="center"/>
    </xf>
    <xf numFmtId="0" fontId="21" fillId="0" borderId="1" xfId="9" applyFont="1" applyBorder="1" applyAlignment="1">
      <alignment horizontal="left" vertical="center" wrapText="1"/>
    </xf>
    <xf numFmtId="0" fontId="21" fillId="0" borderId="1" xfId="9" applyFont="1" applyBorder="1" applyAlignment="1">
      <alignment vertical="center" wrapText="1"/>
    </xf>
    <xf numFmtId="0" fontId="31" fillId="0" borderId="0" xfId="9" applyFont="1" applyAlignment="1">
      <alignment vertical="center" wrapText="1"/>
    </xf>
    <xf numFmtId="0" fontId="19" fillId="15" borderId="1" xfId="1" applyFont="1" applyFill="1" applyBorder="1" applyAlignment="1">
      <alignment horizontal="left" vertical="center"/>
    </xf>
    <xf numFmtId="0" fontId="19" fillId="15" borderId="1" xfId="1" applyFont="1" applyFill="1" applyBorder="1" applyAlignment="1">
      <alignment vertical="center"/>
    </xf>
    <xf numFmtId="0" fontId="22" fillId="15" borderId="5" xfId="1" applyFont="1" applyFill="1" applyBorder="1" applyAlignment="1">
      <alignment horizontal="center" vertical="center"/>
    </xf>
    <xf numFmtId="0" fontId="19" fillId="12" borderId="1" xfId="1" applyFont="1" applyFill="1" applyBorder="1" applyAlignment="1">
      <alignment vertical="center" wrapText="1"/>
    </xf>
    <xf numFmtId="0" fontId="19" fillId="15" borderId="1" xfId="1" applyFont="1" applyFill="1" applyBorder="1" applyAlignment="1">
      <alignment horizontal="right" vertical="center"/>
    </xf>
    <xf numFmtId="0" fontId="19" fillId="15" borderId="1" xfId="1" applyFont="1" applyFill="1" applyBorder="1" applyAlignment="1">
      <alignment vertical="center" wrapText="1"/>
    </xf>
    <xf numFmtId="0" fontId="19" fillId="15" borderId="1" xfId="1" applyFont="1" applyFill="1" applyBorder="1" applyAlignment="1">
      <alignment horizontal="left" vertical="center" wrapText="1"/>
    </xf>
    <xf numFmtId="0" fontId="29" fillId="12" borderId="1" xfId="1" applyFont="1" applyFill="1" applyBorder="1" applyAlignment="1">
      <alignment vertical="center" wrapText="1"/>
    </xf>
    <xf numFmtId="0" fontId="34" fillId="8" borderId="1" xfId="1" applyFont="1" applyFill="1" applyBorder="1" applyAlignment="1">
      <alignment horizontal="center" vertical="center"/>
    </xf>
    <xf numFmtId="0" fontId="34" fillId="8" borderId="1" xfId="1" applyFont="1" applyFill="1" applyBorder="1" applyAlignment="1">
      <alignment horizontal="left" vertical="center"/>
    </xf>
    <xf numFmtId="0" fontId="19" fillId="12" borderId="1" xfId="1" applyNumberFormat="1" applyFont="1" applyFill="1" applyBorder="1" applyAlignment="1">
      <alignment horizontal="left" vertical="center"/>
    </xf>
    <xf numFmtId="0" fontId="22" fillId="6" borderId="5" xfId="1" applyFont="1" applyFill="1" applyBorder="1" applyAlignment="1">
      <alignment horizontal="center" vertical="center"/>
    </xf>
    <xf numFmtId="0" fontId="22" fillId="12" borderId="5" xfId="1" applyFont="1" applyFill="1" applyBorder="1" applyAlignment="1">
      <alignment horizontal="center" vertical="center"/>
    </xf>
    <xf numFmtId="0" fontId="22" fillId="15" borderId="5" xfId="1" applyFont="1" applyFill="1" applyBorder="1" applyAlignment="1">
      <alignment horizontal="center" vertical="center"/>
    </xf>
    <xf numFmtId="0" fontId="19" fillId="12" borderId="1" xfId="1" applyFont="1" applyFill="1" applyBorder="1" applyAlignment="1">
      <alignment horizontal="left" vertical="center" wrapText="1"/>
    </xf>
    <xf numFmtId="0" fontId="19" fillId="12" borderId="1" xfId="1" applyFont="1" applyFill="1" applyBorder="1" applyAlignment="1">
      <alignment horizontal="left" vertical="center"/>
    </xf>
    <xf numFmtId="0" fontId="19" fillId="6" borderId="1" xfId="1" applyFont="1" applyFill="1" applyBorder="1" applyAlignment="1">
      <alignment vertical="center" wrapText="1"/>
    </xf>
    <xf numFmtId="0" fontId="19" fillId="6" borderId="1" xfId="1" applyFont="1" applyFill="1" applyBorder="1" applyAlignment="1">
      <alignment horizontal="left" vertical="center"/>
    </xf>
    <xf numFmtId="0" fontId="35" fillId="0" borderId="0" xfId="0" applyFont="1" applyAlignment="1">
      <alignment wrapText="1"/>
    </xf>
    <xf numFmtId="0" fontId="19" fillId="6" borderId="1" xfId="1" applyFont="1" applyFill="1" applyBorder="1" applyAlignment="1">
      <alignment horizontal="left" vertical="center" wrapText="1"/>
    </xf>
    <xf numFmtId="0" fontId="19" fillId="6" borderId="1" xfId="1" applyNumberFormat="1" applyFont="1" applyFill="1" applyBorder="1" applyAlignment="1">
      <alignment horizontal="left" vertical="center"/>
    </xf>
    <xf numFmtId="0" fontId="19" fillId="6" borderId="1" xfId="1" applyFont="1" applyFill="1" applyBorder="1" applyAlignment="1">
      <alignment horizontal="center" vertical="center" wrapText="1"/>
    </xf>
    <xf numFmtId="0" fontId="25" fillId="5" borderId="6" xfId="4" applyFont="1" applyFill="1" applyBorder="1" applyAlignment="1">
      <alignment horizontal="center" vertical="center" wrapText="1"/>
    </xf>
    <xf numFmtId="0" fontId="32" fillId="6" borderId="1" xfId="4" applyFont="1" applyFill="1" applyBorder="1" applyAlignment="1">
      <alignment horizontal="center" vertical="center" wrapText="1"/>
    </xf>
    <xf numFmtId="0" fontId="32" fillId="4" borderId="1" xfId="4" applyFont="1" applyFill="1" applyBorder="1" applyAlignment="1">
      <alignment horizontal="center" vertical="center" wrapText="1"/>
    </xf>
    <xf numFmtId="0" fontId="9" fillId="0" borderId="0" xfId="9" applyAlignment="1">
      <alignment horizontal="center" vertical="center"/>
    </xf>
    <xf numFmtId="58" fontId="21" fillId="0" borderId="1" xfId="9" applyNumberFormat="1" applyFont="1" applyBorder="1" applyAlignment="1">
      <alignment horizontal="center" vertical="center"/>
    </xf>
    <xf numFmtId="14" fontId="25" fillId="5" borderId="6" xfId="2" applyNumberFormat="1" applyFont="1" applyFill="1" applyBorder="1" applyAlignment="1">
      <alignment vertical="center"/>
    </xf>
    <xf numFmtId="0" fontId="35" fillId="0" borderId="1" xfId="0" applyFont="1" applyBorder="1"/>
    <xf numFmtId="0" fontId="25" fillId="14" borderId="1" xfId="3" applyFont="1" applyFill="1" applyBorder="1" applyAlignment="1">
      <alignment horizontal="center" vertical="center" wrapText="1"/>
    </xf>
    <xf numFmtId="0" fontId="12" fillId="13" borderId="1" xfId="13" applyFont="1" applyFill="1" applyBorder="1" applyAlignment="1">
      <alignment horizontal="center" vertical="center" wrapText="1"/>
    </xf>
    <xf numFmtId="0" fontId="6" fillId="0" borderId="0" xfId="13">
      <alignment vertical="center"/>
    </xf>
    <xf numFmtId="0" fontId="15" fillId="0" borderId="1" xfId="13" applyFont="1" applyBorder="1">
      <alignment vertical="center"/>
    </xf>
    <xf numFmtId="0" fontId="15" fillId="13" borderId="1" xfId="13" applyNumberFormat="1" applyFont="1" applyFill="1" applyBorder="1" applyAlignment="1">
      <alignment horizontal="center" vertical="center" wrapText="1"/>
    </xf>
    <xf numFmtId="49" fontId="15" fillId="13" borderId="1" xfId="13" applyNumberFormat="1" applyFont="1" applyFill="1" applyBorder="1" applyAlignment="1">
      <alignment horizontal="center" vertical="center" wrapText="1"/>
    </xf>
    <xf numFmtId="0" fontId="26" fillId="13" borderId="1" xfId="13" applyFont="1" applyFill="1" applyBorder="1" applyAlignment="1">
      <alignment horizontal="center" vertical="center" wrapText="1"/>
    </xf>
    <xf numFmtId="0" fontId="28" fillId="0" borderId="1" xfId="13" applyFont="1" applyBorder="1" applyAlignment="1">
      <alignment horizontal="center" vertical="center" wrapText="1"/>
    </xf>
    <xf numFmtId="0" fontId="16" fillId="2" borderId="1" xfId="13" applyFont="1" applyFill="1" applyBorder="1" applyAlignment="1">
      <alignment horizontal="center" vertical="center"/>
    </xf>
    <xf numFmtId="0" fontId="16" fillId="2" borderId="1" xfId="13" applyFont="1" applyFill="1" applyBorder="1" applyAlignment="1">
      <alignment horizontal="center" vertical="center" wrapText="1"/>
    </xf>
    <xf numFmtId="14" fontId="16" fillId="2" borderId="1" xfId="13" applyNumberFormat="1" applyFont="1" applyFill="1" applyBorder="1" applyAlignment="1">
      <alignment horizontal="center" vertical="center"/>
    </xf>
    <xf numFmtId="0" fontId="16" fillId="2" borderId="1" xfId="13" applyNumberFormat="1" applyFont="1" applyFill="1" applyBorder="1" applyAlignment="1">
      <alignment horizontal="center" vertical="center"/>
    </xf>
    <xf numFmtId="0" fontId="16" fillId="12" borderId="1" xfId="13" applyFont="1" applyFill="1" applyBorder="1" applyAlignment="1">
      <alignment horizontal="center" vertical="center"/>
    </xf>
    <xf numFmtId="10" fontId="16" fillId="12" borderId="1" xfId="13" applyNumberFormat="1" applyFont="1" applyFill="1" applyBorder="1" applyAlignment="1">
      <alignment horizontal="center" vertical="center"/>
    </xf>
    <xf numFmtId="0" fontId="17" fillId="0" borderId="1" xfId="13" applyFont="1" applyBorder="1" applyAlignment="1">
      <alignment horizontal="center" vertical="center"/>
    </xf>
    <xf numFmtId="14" fontId="16" fillId="0" borderId="1" xfId="13" applyNumberFormat="1" applyFont="1" applyBorder="1" applyAlignment="1">
      <alignment horizontal="center" vertical="center"/>
    </xf>
    <xf numFmtId="0" fontId="16" fillId="0" borderId="1" xfId="13" applyNumberFormat="1" applyFont="1" applyBorder="1" applyAlignment="1">
      <alignment horizontal="center" vertical="center"/>
    </xf>
    <xf numFmtId="14" fontId="16" fillId="0" borderId="1" xfId="13" applyNumberFormat="1" applyFont="1" applyFill="1" applyBorder="1" applyAlignment="1">
      <alignment horizontal="center" vertical="center"/>
    </xf>
    <xf numFmtId="0" fontId="16" fillId="0" borderId="1" xfId="13" applyNumberFormat="1" applyFont="1" applyFill="1" applyBorder="1" applyAlignment="1">
      <alignment horizontal="center" vertical="center"/>
    </xf>
    <xf numFmtId="0" fontId="16" fillId="3" borderId="1" xfId="13" applyFont="1" applyFill="1" applyBorder="1" applyAlignment="1">
      <alignment horizontal="center" vertical="center"/>
    </xf>
    <xf numFmtId="0" fontId="16" fillId="3" borderId="1" xfId="13" applyFont="1" applyFill="1" applyBorder="1" applyAlignment="1">
      <alignment horizontal="center" vertical="center" wrapText="1"/>
    </xf>
    <xf numFmtId="0" fontId="16" fillId="0" borderId="1" xfId="13" applyFont="1" applyBorder="1" applyAlignment="1">
      <alignment horizontal="center" vertical="center"/>
    </xf>
    <xf numFmtId="0" fontId="16" fillId="0" borderId="1" xfId="13" applyFont="1" applyFill="1" applyBorder="1" applyAlignment="1">
      <alignment horizontal="center" vertical="center" wrapText="1"/>
    </xf>
    <xf numFmtId="0" fontId="16" fillId="0" borderId="1" xfId="14" applyNumberFormat="1" applyFont="1" applyBorder="1" applyAlignment="1">
      <alignment horizontal="center" vertical="center"/>
    </xf>
    <xf numFmtId="14" fontId="16" fillId="0" borderId="1" xfId="14" applyNumberFormat="1" applyFont="1" applyFill="1" applyBorder="1" applyAlignment="1">
      <alignment horizontal="center" vertical="center"/>
    </xf>
    <xf numFmtId="0" fontId="16" fillId="0" borderId="1" xfId="14" applyNumberFormat="1" applyFont="1" applyFill="1" applyBorder="1" applyAlignment="1">
      <alignment horizontal="center" vertical="center"/>
    </xf>
    <xf numFmtId="0" fontId="29" fillId="12" borderId="1" xfId="13" applyNumberFormat="1" applyFont="1" applyFill="1" applyBorder="1" applyAlignment="1">
      <alignment horizontal="left" vertical="center"/>
    </xf>
    <xf numFmtId="0" fontId="16" fillId="0" borderId="1" xfId="13" applyFont="1" applyFill="1" applyBorder="1" applyAlignment="1">
      <alignment horizontal="center" vertical="center"/>
    </xf>
    <xf numFmtId="0" fontId="15" fillId="0" borderId="4" xfId="13" applyFont="1" applyBorder="1">
      <alignment vertical="center"/>
    </xf>
    <xf numFmtId="14" fontId="16" fillId="0" borderId="0" xfId="13" applyNumberFormat="1" applyFont="1" applyBorder="1" applyAlignment="1">
      <alignment horizontal="center" vertical="center"/>
    </xf>
    <xf numFmtId="0" fontId="16" fillId="0" borderId="0" xfId="13" applyNumberFormat="1" applyFont="1" applyBorder="1" applyAlignment="1">
      <alignment horizontal="center" vertical="center"/>
    </xf>
    <xf numFmtId="0" fontId="16" fillId="0" borderId="0" xfId="13" applyNumberFormat="1" applyFont="1" applyBorder="1" applyAlignment="1">
      <alignment horizontal="center" vertical="center" wrapText="1"/>
    </xf>
    <xf numFmtId="14" fontId="16" fillId="0" borderId="0" xfId="13" applyNumberFormat="1" applyFont="1" applyBorder="1" applyAlignment="1">
      <alignment horizontal="center" vertical="center" wrapText="1"/>
    </xf>
    <xf numFmtId="0" fontId="6" fillId="0" borderId="0" xfId="13" applyNumberFormat="1">
      <alignment vertical="center"/>
    </xf>
    <xf numFmtId="177" fontId="16" fillId="2" borderId="1" xfId="13" applyNumberFormat="1" applyFont="1" applyFill="1" applyBorder="1" applyAlignment="1">
      <alignment horizontal="center" vertical="center"/>
    </xf>
    <xf numFmtId="177" fontId="16" fillId="0" borderId="1" xfId="13" applyNumberFormat="1" applyFont="1" applyFill="1" applyBorder="1" applyAlignment="1">
      <alignment horizontal="center" vertical="center"/>
    </xf>
    <xf numFmtId="0" fontId="17" fillId="0" borderId="1" xfId="13" applyFont="1" applyBorder="1" applyAlignment="1">
      <alignment vertical="center"/>
    </xf>
    <xf numFmtId="49" fontId="12" fillId="13" borderId="7" xfId="13" applyNumberFormat="1" applyFont="1" applyFill="1" applyBorder="1" applyAlignment="1">
      <alignment vertical="center" wrapText="1"/>
    </xf>
    <xf numFmtId="49" fontId="12" fillId="13" borderId="2" xfId="13" applyNumberFormat="1" applyFont="1" applyFill="1" applyBorder="1" applyAlignment="1">
      <alignment vertical="center" wrapText="1"/>
    </xf>
    <xf numFmtId="14" fontId="12" fillId="13" borderId="1" xfId="13" applyNumberFormat="1" applyFont="1" applyFill="1" applyBorder="1" applyAlignment="1">
      <alignment horizontal="center" vertical="center" wrapText="1"/>
    </xf>
    <xf numFmtId="58" fontId="21" fillId="0" borderId="1" xfId="9" applyNumberFormat="1" applyFont="1" applyFill="1" applyBorder="1" applyAlignment="1">
      <alignment horizontal="center" vertical="center"/>
    </xf>
    <xf numFmtId="0" fontId="5" fillId="0" borderId="0" xfId="9" applyFont="1">
      <alignment vertical="center"/>
    </xf>
    <xf numFmtId="58" fontId="21" fillId="18" borderId="1" xfId="9" applyNumberFormat="1" applyFont="1" applyFill="1" applyBorder="1" applyAlignment="1">
      <alignment horizontal="center" vertical="center"/>
    </xf>
    <xf numFmtId="0" fontId="25" fillId="5" borderId="6" xfId="2" applyFont="1" applyFill="1" applyBorder="1" applyAlignment="1">
      <alignment vertical="center"/>
    </xf>
    <xf numFmtId="0" fontId="25" fillId="5" borderId="7" xfId="2" applyFont="1" applyFill="1" applyBorder="1" applyAlignment="1">
      <alignment vertical="center"/>
    </xf>
    <xf numFmtId="0" fontId="25" fillId="5" borderId="2" xfId="2" applyFont="1" applyFill="1" applyBorder="1" applyAlignment="1">
      <alignment vertical="center"/>
    </xf>
    <xf numFmtId="0" fontId="25" fillId="5" borderId="1" xfId="3" applyFont="1" applyFill="1" applyBorder="1" applyAlignment="1">
      <alignment horizontal="center" vertical="center" wrapText="1"/>
    </xf>
    <xf numFmtId="58" fontId="21" fillId="5" borderId="1" xfId="9" applyNumberFormat="1" applyFont="1" applyFill="1" applyBorder="1" applyAlignment="1">
      <alignment horizontal="center" vertical="center"/>
    </xf>
    <xf numFmtId="0" fontId="21" fillId="5" borderId="1" xfId="9" applyFont="1" applyFill="1" applyBorder="1" applyAlignment="1">
      <alignment horizontal="left" vertical="center"/>
    </xf>
    <xf numFmtId="0" fontId="21" fillId="5" borderId="1" xfId="9" applyFont="1" applyFill="1" applyBorder="1" applyAlignment="1">
      <alignment horizontal="left" vertical="center" wrapText="1"/>
    </xf>
    <xf numFmtId="0" fontId="21" fillId="5" borderId="1" xfId="9" applyNumberFormat="1" applyFont="1" applyFill="1" applyBorder="1" applyAlignment="1">
      <alignment horizontal="center" vertical="center"/>
    </xf>
    <xf numFmtId="0" fontId="21" fillId="5" borderId="1" xfId="9" applyFont="1" applyFill="1" applyBorder="1" applyAlignment="1">
      <alignment horizontal="center" vertical="center"/>
    </xf>
    <xf numFmtId="0" fontId="19" fillId="6" borderId="1" xfId="1" applyFont="1" applyFill="1" applyBorder="1" applyAlignment="1">
      <alignment horizontal="center" vertical="center"/>
    </xf>
    <xf numFmtId="0" fontId="19" fillId="15" borderId="1" xfId="1" applyFont="1" applyFill="1" applyBorder="1" applyAlignment="1">
      <alignment vertical="center" wrapText="1"/>
    </xf>
    <xf numFmtId="0" fontId="19" fillId="15" borderId="1" xfId="1" applyFont="1" applyFill="1" applyBorder="1" applyAlignment="1">
      <alignment horizontal="center" vertical="center"/>
    </xf>
    <xf numFmtId="0" fontId="19" fillId="12" borderId="1" xfId="1" applyFont="1" applyFill="1" applyBorder="1" applyAlignment="1">
      <alignment horizontal="center" vertical="center"/>
    </xf>
    <xf numFmtId="0" fontId="19" fillId="12" borderId="4" xfId="1" applyFont="1" applyFill="1" applyBorder="1" applyAlignment="1">
      <alignment horizontal="center" vertical="center"/>
    </xf>
    <xf numFmtId="0" fontId="35" fillId="0" borderId="1" xfId="0" applyFont="1" applyBorder="1" applyAlignment="1">
      <alignment vertical="center" wrapText="1"/>
    </xf>
    <xf numFmtId="0" fontId="35" fillId="0" borderId="0" xfId="0" applyFont="1" applyAlignment="1">
      <alignment horizontal="left" vertical="center" wrapText="1"/>
    </xf>
    <xf numFmtId="0" fontId="35" fillId="0" borderId="1" xfId="0" applyFont="1" applyBorder="1" applyAlignment="1">
      <alignment wrapText="1"/>
    </xf>
    <xf numFmtId="0" fontId="21" fillId="0" borderId="1" xfId="15" applyFont="1" applyBorder="1" applyAlignment="1">
      <alignment horizontal="center" vertical="center"/>
    </xf>
    <xf numFmtId="0" fontId="25" fillId="14" borderId="6" xfId="3" applyFont="1" applyFill="1" applyBorder="1" applyAlignment="1">
      <alignment horizontal="center" vertical="center" wrapText="1"/>
    </xf>
    <xf numFmtId="0" fontId="38" fillId="0" borderId="0" xfId="0" applyFont="1"/>
    <xf numFmtId="176" fontId="21" fillId="0" borderId="1" xfId="16" applyNumberFormat="1" applyFont="1" applyBorder="1">
      <alignment vertical="center"/>
    </xf>
    <xf numFmtId="0" fontId="21" fillId="0" borderId="1" xfId="16" applyFont="1" applyBorder="1" applyAlignment="1">
      <alignment horizontal="center" vertical="center"/>
    </xf>
    <xf numFmtId="176" fontId="21" fillId="0" borderId="1" xfId="17" applyNumberFormat="1" applyFont="1" applyBorder="1">
      <alignment vertical="center"/>
    </xf>
    <xf numFmtId="0" fontId="21" fillId="0" borderId="1" xfId="17" applyFont="1" applyBorder="1" applyAlignment="1">
      <alignment horizontal="left" vertical="center" wrapText="1"/>
    </xf>
    <xf numFmtId="14" fontId="21" fillId="0" borderId="1" xfId="17" applyNumberFormat="1" applyFont="1" applyBorder="1" applyAlignment="1">
      <alignment horizontal="center" vertical="center"/>
    </xf>
    <xf numFmtId="0" fontId="25" fillId="13" borderId="1" xfId="4" applyFont="1" applyFill="1" applyBorder="1" applyAlignment="1">
      <alignment horizontal="center" vertical="center" wrapText="1"/>
    </xf>
    <xf numFmtId="0" fontId="25" fillId="13" borderId="1" xfId="4" applyFont="1" applyFill="1" applyBorder="1" applyAlignment="1">
      <alignment horizontal="center" vertical="center"/>
    </xf>
    <xf numFmtId="0" fontId="16" fillId="3" borderId="1" xfId="8" applyFont="1" applyFill="1" applyBorder="1" applyAlignment="1">
      <alignment horizontal="center" vertical="center"/>
    </xf>
    <xf numFmtId="14" fontId="21" fillId="0" borderId="1" xfId="9" applyNumberFormat="1" applyFont="1" applyFill="1" applyBorder="1" applyAlignment="1">
      <alignment horizontal="center" vertical="center"/>
    </xf>
    <xf numFmtId="14" fontId="21" fillId="17" borderId="1" xfId="9" applyNumberFormat="1" applyFont="1" applyFill="1" applyBorder="1" applyAlignment="1">
      <alignment horizontal="center" vertical="center"/>
    </xf>
    <xf numFmtId="0" fontId="16" fillId="0" borderId="1" xfId="19" applyNumberFormat="1" applyFont="1" applyBorder="1" applyAlignment="1">
      <alignment horizontal="center" vertical="center"/>
    </xf>
    <xf numFmtId="14" fontId="16" fillId="0" borderId="1" xfId="19" applyNumberFormat="1" applyFont="1" applyFill="1" applyBorder="1" applyAlignment="1">
      <alignment horizontal="center" vertical="center"/>
    </xf>
    <xf numFmtId="176" fontId="21" fillId="0" borderId="1" xfId="10" applyNumberFormat="1" applyFont="1" applyBorder="1">
      <alignment vertical="center"/>
    </xf>
    <xf numFmtId="0" fontId="16" fillId="19" borderId="1" xfId="13" applyFont="1" applyFill="1" applyBorder="1" applyAlignment="1">
      <alignment horizontal="center" vertical="center"/>
    </xf>
    <xf numFmtId="0" fontId="16" fillId="19" borderId="1" xfId="13" applyFont="1" applyFill="1" applyBorder="1" applyAlignment="1">
      <alignment horizontal="center" vertical="center" wrapText="1"/>
    </xf>
    <xf numFmtId="14" fontId="16" fillId="19" borderId="1" xfId="13" applyNumberFormat="1" applyFont="1" applyFill="1" applyBorder="1" applyAlignment="1">
      <alignment horizontal="center" vertical="center"/>
    </xf>
    <xf numFmtId="0" fontId="16" fillId="19" borderId="1" xfId="14" applyNumberFormat="1" applyFont="1" applyFill="1" applyBorder="1" applyAlignment="1">
      <alignment horizontal="center" vertical="center"/>
    </xf>
    <xf numFmtId="177" fontId="16" fillId="19" borderId="1" xfId="13" applyNumberFormat="1" applyFont="1" applyFill="1" applyBorder="1" applyAlignment="1">
      <alignment horizontal="center" vertical="center"/>
    </xf>
    <xf numFmtId="0" fontId="16" fillId="19" borderId="1" xfId="13" applyNumberFormat="1" applyFont="1" applyFill="1" applyBorder="1" applyAlignment="1">
      <alignment horizontal="center" vertical="center"/>
    </xf>
    <xf numFmtId="0" fontId="16" fillId="20" borderId="1" xfId="13" applyFont="1" applyFill="1" applyBorder="1" applyAlignment="1">
      <alignment horizontal="center" vertical="center"/>
    </xf>
    <xf numFmtId="0" fontId="16" fillId="20" borderId="1" xfId="13" applyFont="1" applyFill="1" applyBorder="1" applyAlignment="1">
      <alignment horizontal="center" vertical="center" wrapText="1"/>
    </xf>
    <xf numFmtId="14" fontId="16" fillId="20" borderId="1" xfId="13" applyNumberFormat="1" applyFont="1" applyFill="1" applyBorder="1" applyAlignment="1">
      <alignment horizontal="center" vertical="center"/>
    </xf>
    <xf numFmtId="0" fontId="16" fillId="20" borderId="1" xfId="13" applyNumberFormat="1" applyFont="1" applyFill="1" applyBorder="1" applyAlignment="1">
      <alignment horizontal="center" vertical="center"/>
    </xf>
    <xf numFmtId="49" fontId="15" fillId="21" borderId="1" xfId="13" applyNumberFormat="1" applyFont="1" applyFill="1" applyBorder="1" applyAlignment="1">
      <alignment horizontal="center" vertical="center" wrapText="1"/>
    </xf>
    <xf numFmtId="0" fontId="32" fillId="2" borderId="1" xfId="4" applyFont="1" applyFill="1" applyBorder="1" applyAlignment="1">
      <alignment horizontal="center" vertical="center" wrapText="1"/>
    </xf>
    <xf numFmtId="0" fontId="32" fillId="19" borderId="1" xfId="4" applyFont="1" applyFill="1" applyBorder="1" applyAlignment="1">
      <alignment horizontal="center" vertical="center" wrapText="1"/>
    </xf>
    <xf numFmtId="0" fontId="21" fillId="19" borderId="1" xfId="9" applyNumberFormat="1" applyFont="1" applyFill="1" applyBorder="1" applyAlignment="1">
      <alignment horizontal="center" vertical="center"/>
    </xf>
    <xf numFmtId="58" fontId="21" fillId="19" borderId="1" xfId="9" applyNumberFormat="1" applyFont="1" applyFill="1" applyBorder="1" applyAlignment="1">
      <alignment horizontal="center" vertical="center"/>
    </xf>
    <xf numFmtId="0" fontId="21" fillId="2" borderId="3" xfId="9" applyNumberFormat="1" applyFont="1" applyFill="1" applyBorder="1" applyAlignment="1">
      <alignment horizontal="center" vertical="center"/>
    </xf>
    <xf numFmtId="58" fontId="21" fillId="2" borderId="3" xfId="9" applyNumberFormat="1" applyFont="1" applyFill="1" applyBorder="1" applyAlignment="1">
      <alignment horizontal="center" vertical="center"/>
    </xf>
    <xf numFmtId="58" fontId="21" fillId="5" borderId="2" xfId="9" applyNumberFormat="1" applyFont="1" applyFill="1" applyBorder="1" applyAlignment="1">
      <alignment horizontal="center" vertical="center"/>
    </xf>
    <xf numFmtId="176" fontId="21" fillId="6" borderId="1" xfId="9" applyNumberFormat="1" applyFont="1" applyFill="1" applyBorder="1" applyAlignment="1">
      <alignment vertical="center"/>
    </xf>
    <xf numFmtId="0" fontId="21" fillId="0" borderId="1" xfId="10" applyFont="1" applyBorder="1" applyAlignment="1">
      <alignment vertical="center" wrapText="1"/>
    </xf>
    <xf numFmtId="0" fontId="32" fillId="12" borderId="1" xfId="4" applyFont="1" applyFill="1" applyBorder="1" applyAlignment="1">
      <alignment horizontal="center" vertical="center" wrapText="1"/>
    </xf>
    <xf numFmtId="176" fontId="21" fillId="6" borderId="1" xfId="9" applyNumberFormat="1" applyFont="1" applyFill="1" applyBorder="1" applyAlignment="1">
      <alignment horizontal="center" vertical="center"/>
    </xf>
    <xf numFmtId="0" fontId="16" fillId="12" borderId="1" xfId="8" applyFont="1" applyFill="1" applyBorder="1" applyAlignment="1">
      <alignment horizontal="center" vertical="center"/>
    </xf>
    <xf numFmtId="177" fontId="21" fillId="2" borderId="3" xfId="9" applyNumberFormat="1" applyFont="1" applyFill="1" applyBorder="1" applyAlignment="1">
      <alignment horizontal="center" vertical="center"/>
    </xf>
    <xf numFmtId="58" fontId="21" fillId="12" borderId="1" xfId="9" applyNumberFormat="1" applyFont="1" applyFill="1" applyBorder="1" applyAlignment="1">
      <alignment horizontal="center" vertical="center"/>
    </xf>
    <xf numFmtId="0" fontId="16" fillId="2" borderId="1" xfId="19" applyNumberFormat="1" applyFont="1" applyFill="1" applyBorder="1" applyAlignment="1">
      <alignment horizontal="center" vertical="center"/>
    </xf>
    <xf numFmtId="14" fontId="16" fillId="2" borderId="1" xfId="19" applyNumberFormat="1" applyFont="1" applyFill="1" applyBorder="1" applyAlignment="1">
      <alignment horizontal="center" vertical="center"/>
    </xf>
    <xf numFmtId="177" fontId="21" fillId="19" borderId="1" xfId="9" applyNumberFormat="1" applyFont="1" applyFill="1" applyBorder="1" applyAlignment="1">
      <alignment horizontal="center" vertical="center"/>
    </xf>
    <xf numFmtId="177" fontId="21" fillId="12" borderId="1" xfId="9" applyNumberFormat="1" applyFont="1" applyFill="1" applyBorder="1" applyAlignment="1">
      <alignment horizontal="center" vertical="center"/>
    </xf>
    <xf numFmtId="177" fontId="21" fillId="0" borderId="1" xfId="9" applyNumberFormat="1" applyFont="1" applyBorder="1" applyAlignment="1">
      <alignment horizontal="center" vertical="center"/>
    </xf>
    <xf numFmtId="177" fontId="21" fillId="18" borderId="1" xfId="9" applyNumberFormat="1" applyFont="1" applyFill="1" applyBorder="1" applyAlignment="1">
      <alignment horizontal="center" vertical="center"/>
    </xf>
    <xf numFmtId="0" fontId="20" fillId="6" borderId="4" xfId="1" applyFont="1" applyFill="1" applyBorder="1" applyAlignment="1">
      <alignment horizontal="center" vertical="center" wrapText="1"/>
    </xf>
    <xf numFmtId="0" fontId="20" fillId="6" borderId="5" xfId="1" applyFont="1" applyFill="1" applyBorder="1" applyAlignment="1">
      <alignment horizontal="center" vertical="center" wrapText="1"/>
    </xf>
    <xf numFmtId="0" fontId="20" fillId="6" borderId="5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19" fillId="6" borderId="4" xfId="1" applyFont="1" applyFill="1" applyBorder="1" applyAlignment="1">
      <alignment horizontal="left" vertical="center" wrapText="1"/>
    </xf>
    <xf numFmtId="0" fontId="19" fillId="6" borderId="5" xfId="1" applyFont="1" applyFill="1" applyBorder="1" applyAlignment="1">
      <alignment horizontal="left" vertical="center" wrapText="1"/>
    </xf>
    <xf numFmtId="0" fontId="19" fillId="6" borderId="3" xfId="1" applyFont="1" applyFill="1" applyBorder="1" applyAlignment="1">
      <alignment horizontal="left" vertical="center" wrapText="1"/>
    </xf>
    <xf numFmtId="0" fontId="19" fillId="6" borderId="4" xfId="1" applyFont="1" applyFill="1" applyBorder="1" applyAlignment="1">
      <alignment horizontal="center" vertical="center" wrapText="1"/>
    </xf>
    <xf numFmtId="0" fontId="19" fillId="6" borderId="5" xfId="1" applyFont="1" applyFill="1" applyBorder="1" applyAlignment="1">
      <alignment horizontal="center" vertical="center" wrapText="1"/>
    </xf>
    <xf numFmtId="0" fontId="19" fillId="6" borderId="3" xfId="1" applyFont="1" applyFill="1" applyBorder="1" applyAlignment="1">
      <alignment horizontal="center" vertical="center" wrapText="1"/>
    </xf>
    <xf numFmtId="176" fontId="19" fillId="6" borderId="4" xfId="1" applyNumberFormat="1" applyFont="1" applyFill="1" applyBorder="1" applyAlignment="1">
      <alignment horizontal="center" vertical="center" wrapText="1"/>
    </xf>
    <xf numFmtId="176" fontId="19" fillId="6" borderId="5" xfId="1" applyNumberFormat="1" applyFont="1" applyFill="1" applyBorder="1" applyAlignment="1">
      <alignment horizontal="center" vertical="center" wrapText="1"/>
    </xf>
    <xf numFmtId="176" fontId="19" fillId="6" borderId="3" xfId="1" applyNumberFormat="1" applyFont="1" applyFill="1" applyBorder="1" applyAlignment="1">
      <alignment horizontal="center" vertical="center" wrapText="1"/>
    </xf>
    <xf numFmtId="0" fontId="11" fillId="6" borderId="4" xfId="1" applyFill="1" applyBorder="1" applyAlignment="1">
      <alignment horizontal="center" vertical="center"/>
    </xf>
    <xf numFmtId="0" fontId="11" fillId="6" borderId="5" xfId="1" applyFill="1" applyBorder="1" applyAlignment="1">
      <alignment horizontal="center" vertical="center"/>
    </xf>
    <xf numFmtId="0" fontId="11" fillId="6" borderId="3" xfId="1" applyFill="1" applyBorder="1" applyAlignment="1">
      <alignment horizontal="center" vertical="center"/>
    </xf>
    <xf numFmtId="0" fontId="19" fillId="6" borderId="4" xfId="1" applyFont="1" applyFill="1" applyBorder="1" applyAlignment="1">
      <alignment horizontal="center" vertical="center"/>
    </xf>
    <xf numFmtId="0" fontId="19" fillId="6" borderId="5" xfId="1" applyFont="1" applyFill="1" applyBorder="1" applyAlignment="1">
      <alignment horizontal="center" vertical="center"/>
    </xf>
    <xf numFmtId="0" fontId="19" fillId="6" borderId="3" xfId="1" applyFont="1" applyFill="1" applyBorder="1" applyAlignment="1">
      <alignment horizontal="center" vertical="center"/>
    </xf>
    <xf numFmtId="31" fontId="19" fillId="6" borderId="4" xfId="1" applyNumberFormat="1" applyFont="1" applyFill="1" applyBorder="1" applyAlignment="1">
      <alignment horizontal="center" vertical="center"/>
    </xf>
    <xf numFmtId="31" fontId="19" fillId="6" borderId="5" xfId="1" applyNumberFormat="1" applyFont="1" applyFill="1" applyBorder="1" applyAlignment="1">
      <alignment horizontal="center" vertical="center"/>
    </xf>
    <xf numFmtId="0" fontId="19" fillId="16" borderId="4" xfId="1" applyFont="1" applyFill="1" applyBorder="1" applyAlignment="1">
      <alignment horizontal="center" vertical="center" wrapText="1"/>
    </xf>
    <xf numFmtId="0" fontId="19" fillId="16" borderId="5" xfId="1" applyFont="1" applyFill="1" applyBorder="1" applyAlignment="1">
      <alignment horizontal="center" vertical="center" wrapText="1"/>
    </xf>
    <xf numFmtId="0" fontId="19" fillId="16" borderId="3" xfId="1" applyFont="1" applyFill="1" applyBorder="1" applyAlignment="1">
      <alignment horizontal="center" vertical="center" wrapText="1"/>
    </xf>
    <xf numFmtId="0" fontId="20" fillId="15" borderId="4" xfId="1" applyFont="1" applyFill="1" applyBorder="1" applyAlignment="1">
      <alignment horizontal="center" vertical="center" wrapText="1"/>
    </xf>
    <xf numFmtId="0" fontId="20" fillId="15" borderId="5" xfId="1" applyFont="1" applyFill="1" applyBorder="1" applyAlignment="1">
      <alignment horizontal="center" vertical="center" wrapText="1"/>
    </xf>
    <xf numFmtId="0" fontId="20" fillId="15" borderId="5" xfId="1" applyFont="1" applyFill="1" applyBorder="1" applyAlignment="1">
      <alignment horizontal="center" vertical="center"/>
    </xf>
    <xf numFmtId="0" fontId="20" fillId="15" borderId="3" xfId="1" applyFont="1" applyFill="1" applyBorder="1" applyAlignment="1">
      <alignment horizontal="center" vertical="center"/>
    </xf>
    <xf numFmtId="0" fontId="19" fillId="15" borderId="4" xfId="1" applyFont="1" applyFill="1" applyBorder="1" applyAlignment="1">
      <alignment horizontal="left" vertical="center" wrapText="1"/>
    </xf>
    <xf numFmtId="0" fontId="19" fillId="15" borderId="5" xfId="1" applyFont="1" applyFill="1" applyBorder="1" applyAlignment="1">
      <alignment horizontal="left" vertical="center" wrapText="1"/>
    </xf>
    <xf numFmtId="0" fontId="19" fillId="15" borderId="3" xfId="1" applyFont="1" applyFill="1" applyBorder="1" applyAlignment="1">
      <alignment horizontal="left" vertical="center" wrapText="1"/>
    </xf>
    <xf numFmtId="0" fontId="19" fillId="15" borderId="4" xfId="1" applyFont="1" applyFill="1" applyBorder="1" applyAlignment="1">
      <alignment horizontal="center" vertical="center" wrapText="1"/>
    </xf>
    <xf numFmtId="0" fontId="19" fillId="15" borderId="5" xfId="1" applyFont="1" applyFill="1" applyBorder="1" applyAlignment="1">
      <alignment horizontal="center" vertical="center" wrapText="1"/>
    </xf>
    <xf numFmtId="0" fontId="19" fillId="15" borderId="3" xfId="1" applyFont="1" applyFill="1" applyBorder="1" applyAlignment="1">
      <alignment horizontal="center" vertical="center" wrapText="1"/>
    </xf>
    <xf numFmtId="176" fontId="19" fillId="15" borderId="4" xfId="1" applyNumberFormat="1" applyFont="1" applyFill="1" applyBorder="1" applyAlignment="1">
      <alignment horizontal="center" vertical="center" wrapText="1"/>
    </xf>
    <xf numFmtId="176" fontId="19" fillId="15" borderId="5" xfId="1" applyNumberFormat="1" applyFont="1" applyFill="1" applyBorder="1" applyAlignment="1">
      <alignment horizontal="center" vertical="center" wrapText="1"/>
    </xf>
    <xf numFmtId="176" fontId="19" fillId="15" borderId="3" xfId="1" applyNumberFormat="1" applyFont="1" applyFill="1" applyBorder="1" applyAlignment="1">
      <alignment horizontal="center" vertical="center" wrapText="1"/>
    </xf>
    <xf numFmtId="0" fontId="11" fillId="15" borderId="4" xfId="1" applyFill="1" applyBorder="1" applyAlignment="1">
      <alignment horizontal="center" vertical="center"/>
    </xf>
    <xf numFmtId="0" fontId="11" fillId="15" borderId="5" xfId="1" applyFill="1" applyBorder="1" applyAlignment="1">
      <alignment horizontal="center" vertical="center"/>
    </xf>
    <xf numFmtId="0" fontId="11" fillId="15" borderId="3" xfId="1" applyFill="1" applyBorder="1" applyAlignment="1">
      <alignment horizontal="center" vertical="center"/>
    </xf>
    <xf numFmtId="0" fontId="33" fillId="12" borderId="4" xfId="1" applyFont="1" applyFill="1" applyBorder="1" applyAlignment="1">
      <alignment horizontal="center" vertical="center" wrapText="1"/>
    </xf>
    <xf numFmtId="0" fontId="33" fillId="12" borderId="5" xfId="1" applyFont="1" applyFill="1" applyBorder="1" applyAlignment="1">
      <alignment horizontal="center" vertical="center"/>
    </xf>
    <xf numFmtId="0" fontId="33" fillId="12" borderId="3" xfId="1" applyFont="1" applyFill="1" applyBorder="1" applyAlignment="1">
      <alignment horizontal="center" vertical="center"/>
    </xf>
    <xf numFmtId="0" fontId="19" fillId="12" borderId="4" xfId="1" applyFont="1" applyFill="1" applyBorder="1" applyAlignment="1">
      <alignment horizontal="center" vertical="center" wrapText="1"/>
    </xf>
    <xf numFmtId="0" fontId="19" fillId="12" borderId="5" xfId="1" applyFont="1" applyFill="1" applyBorder="1" applyAlignment="1">
      <alignment horizontal="center" vertical="center" wrapText="1"/>
    </xf>
    <xf numFmtId="0" fontId="19" fillId="12" borderId="3" xfId="1" applyFont="1" applyFill="1" applyBorder="1" applyAlignment="1">
      <alignment horizontal="center" vertical="center" wrapText="1"/>
    </xf>
    <xf numFmtId="176" fontId="19" fillId="12" borderId="4" xfId="1" applyNumberFormat="1" applyFont="1" applyFill="1" applyBorder="1" applyAlignment="1">
      <alignment horizontal="center" vertical="center" wrapText="1"/>
    </xf>
    <xf numFmtId="176" fontId="19" fillId="12" borderId="5" xfId="1" applyNumberFormat="1" applyFont="1" applyFill="1" applyBorder="1" applyAlignment="1">
      <alignment horizontal="center" vertical="center" wrapText="1"/>
    </xf>
    <xf numFmtId="176" fontId="19" fillId="12" borderId="3" xfId="1" applyNumberFormat="1" applyFont="1" applyFill="1" applyBorder="1" applyAlignment="1">
      <alignment horizontal="center" vertical="center" wrapText="1"/>
    </xf>
    <xf numFmtId="0" fontId="22" fillId="15" borderId="5" xfId="1" applyFont="1" applyFill="1" applyBorder="1" applyAlignment="1">
      <alignment horizontal="center" vertical="center"/>
    </xf>
    <xf numFmtId="0" fontId="22" fillId="15" borderId="3" xfId="1" applyFont="1" applyFill="1" applyBorder="1" applyAlignment="1">
      <alignment horizontal="center" vertical="center"/>
    </xf>
    <xf numFmtId="0" fontId="33" fillId="15" borderId="4" xfId="1" applyFont="1" applyFill="1" applyBorder="1" applyAlignment="1">
      <alignment horizontal="center" vertical="center"/>
    </xf>
    <xf numFmtId="0" fontId="33" fillId="15" borderId="5" xfId="1" applyFont="1" applyFill="1" applyBorder="1" applyAlignment="1">
      <alignment horizontal="center" vertical="center"/>
    </xf>
    <xf numFmtId="0" fontId="33" fillId="15" borderId="3" xfId="1" applyFont="1" applyFill="1" applyBorder="1" applyAlignment="1">
      <alignment horizontal="center" vertical="center"/>
    </xf>
    <xf numFmtId="0" fontId="19" fillId="15" borderId="4" xfId="1" applyFont="1" applyFill="1" applyBorder="1" applyAlignment="1">
      <alignment horizontal="center" vertical="center"/>
    </xf>
    <xf numFmtId="0" fontId="19" fillId="15" borderId="5" xfId="1" applyFont="1" applyFill="1" applyBorder="1" applyAlignment="1">
      <alignment horizontal="center" vertical="center"/>
    </xf>
    <xf numFmtId="0" fontId="19" fillId="15" borderId="3" xfId="1" applyFont="1" applyFill="1" applyBorder="1" applyAlignment="1">
      <alignment horizontal="center" vertical="center"/>
    </xf>
    <xf numFmtId="31" fontId="19" fillId="12" borderId="1" xfId="1" applyNumberFormat="1" applyFont="1" applyFill="1" applyBorder="1" applyAlignment="1">
      <alignment horizontal="left" vertical="center"/>
    </xf>
    <xf numFmtId="0" fontId="19" fillId="12" borderId="1" xfId="1" applyFont="1" applyFill="1" applyBorder="1" applyAlignment="1">
      <alignment horizontal="left" vertical="center"/>
    </xf>
    <xf numFmtId="0" fontId="19" fillId="12" borderId="1" xfId="1" applyFont="1" applyFill="1" applyBorder="1" applyAlignment="1">
      <alignment horizontal="center" vertical="center"/>
    </xf>
    <xf numFmtId="0" fontId="22" fillId="12" borderId="4" xfId="1" applyFont="1" applyFill="1" applyBorder="1" applyAlignment="1">
      <alignment horizontal="center" vertical="center"/>
    </xf>
    <xf numFmtId="0" fontId="22" fillId="12" borderId="5" xfId="1" applyFont="1" applyFill="1" applyBorder="1" applyAlignment="1">
      <alignment horizontal="center" vertical="center"/>
    </xf>
    <xf numFmtId="0" fontId="22" fillId="12" borderId="3" xfId="1" applyFont="1" applyFill="1" applyBorder="1" applyAlignment="1">
      <alignment horizontal="center" vertical="center"/>
    </xf>
    <xf numFmtId="0" fontId="20" fillId="12" borderId="4" xfId="1" applyFont="1" applyFill="1" applyBorder="1" applyAlignment="1">
      <alignment horizontal="center" vertical="center"/>
    </xf>
    <xf numFmtId="0" fontId="20" fillId="12" borderId="5" xfId="1" applyFont="1" applyFill="1" applyBorder="1" applyAlignment="1">
      <alignment horizontal="center" vertical="center"/>
    </xf>
    <xf numFmtId="0" fontId="20" fillId="12" borderId="3" xfId="1" applyFont="1" applyFill="1" applyBorder="1" applyAlignment="1">
      <alignment horizontal="center" vertical="center"/>
    </xf>
    <xf numFmtId="0" fontId="19" fillId="12" borderId="1" xfId="1" applyFont="1" applyFill="1" applyBorder="1" applyAlignment="1">
      <alignment horizontal="left" vertical="center" wrapText="1"/>
    </xf>
    <xf numFmtId="0" fontId="19" fillId="12" borderId="4" xfId="1" applyFont="1" applyFill="1" applyBorder="1" applyAlignment="1">
      <alignment horizontal="center" vertical="center"/>
    </xf>
    <xf numFmtId="0" fontId="19" fillId="12" borderId="5" xfId="1" applyFont="1" applyFill="1" applyBorder="1" applyAlignment="1">
      <alignment horizontal="center" vertical="center"/>
    </xf>
    <xf numFmtId="0" fontId="19" fillId="12" borderId="3" xfId="1" applyFont="1" applyFill="1" applyBorder="1" applyAlignment="1">
      <alignment horizontal="center" vertical="center"/>
    </xf>
    <xf numFmtId="0" fontId="19" fillId="12" borderId="4" xfId="1" applyFont="1" applyFill="1" applyBorder="1" applyAlignment="1">
      <alignment horizontal="left" vertical="center" wrapText="1"/>
    </xf>
    <xf numFmtId="0" fontId="19" fillId="12" borderId="5" xfId="1" applyFont="1" applyFill="1" applyBorder="1" applyAlignment="1">
      <alignment horizontal="left" vertical="center" wrapText="1"/>
    </xf>
    <xf numFmtId="0" fontId="19" fillId="12" borderId="3" xfId="1" applyFont="1" applyFill="1" applyBorder="1" applyAlignment="1">
      <alignment horizontal="left" vertical="center" wrapText="1"/>
    </xf>
    <xf numFmtId="0" fontId="33" fillId="12" borderId="4" xfId="1" applyFont="1" applyFill="1" applyBorder="1" applyAlignment="1">
      <alignment horizontal="center" vertical="center"/>
    </xf>
    <xf numFmtId="0" fontId="33" fillId="6" borderId="4" xfId="1" applyFont="1" applyFill="1" applyBorder="1" applyAlignment="1">
      <alignment horizontal="center" vertical="center"/>
    </xf>
    <xf numFmtId="0" fontId="33" fillId="6" borderId="5" xfId="1" applyFont="1" applyFill="1" applyBorder="1" applyAlignment="1">
      <alignment horizontal="center" vertical="center"/>
    </xf>
    <xf numFmtId="0" fontId="33" fillId="6" borderId="3" xfId="1" applyFont="1" applyFill="1" applyBorder="1" applyAlignment="1">
      <alignment horizontal="center" vertical="center"/>
    </xf>
    <xf numFmtId="0" fontId="11" fillId="12" borderId="4" xfId="1" applyFill="1" applyBorder="1" applyAlignment="1">
      <alignment horizontal="center" vertical="center"/>
    </xf>
    <xf numFmtId="0" fontId="11" fillId="12" borderId="5" xfId="1" applyFill="1" applyBorder="1" applyAlignment="1">
      <alignment horizontal="center" vertical="center"/>
    </xf>
    <xf numFmtId="0" fontId="11" fillId="12" borderId="3" xfId="1" applyFill="1" applyBorder="1" applyAlignment="1">
      <alignment horizontal="center" vertical="center"/>
    </xf>
    <xf numFmtId="0" fontId="21" fillId="12" borderId="4" xfId="1" applyFont="1" applyFill="1" applyBorder="1" applyAlignment="1">
      <alignment horizontal="center" vertical="center" wrapText="1"/>
    </xf>
    <xf numFmtId="0" fontId="21" fillId="12" borderId="5" xfId="1" applyFont="1" applyFill="1" applyBorder="1" applyAlignment="1">
      <alignment horizontal="center" vertical="center"/>
    </xf>
    <xf numFmtId="0" fontId="21" fillId="12" borderId="3" xfId="1" applyFont="1" applyFill="1" applyBorder="1" applyAlignment="1">
      <alignment horizontal="center" vertical="center"/>
    </xf>
    <xf numFmtId="31" fontId="19" fillId="15" borderId="4" xfId="1" applyNumberFormat="1" applyFont="1" applyFill="1" applyBorder="1" applyAlignment="1">
      <alignment horizontal="center" vertical="center"/>
    </xf>
    <xf numFmtId="31" fontId="19" fillId="15" borderId="5" xfId="1" applyNumberFormat="1" applyFont="1" applyFill="1" applyBorder="1" applyAlignment="1">
      <alignment horizontal="center" vertical="center"/>
    </xf>
    <xf numFmtId="0" fontId="22" fillId="12" borderId="5" xfId="1" applyFont="1" applyFill="1" applyBorder="1" applyAlignment="1">
      <alignment horizontal="left" vertical="center"/>
    </xf>
    <xf numFmtId="0" fontId="22" fillId="12" borderId="3" xfId="1" applyFont="1" applyFill="1" applyBorder="1" applyAlignment="1">
      <alignment horizontal="left" vertical="center"/>
    </xf>
    <xf numFmtId="0" fontId="22" fillId="6" borderId="5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 wrapText="1"/>
    </xf>
    <xf numFmtId="0" fontId="19" fillId="8" borderId="5" xfId="1" applyFont="1" applyFill="1" applyBorder="1" applyAlignment="1">
      <alignment horizontal="center" vertical="center" wrapText="1"/>
    </xf>
    <xf numFmtId="0" fontId="19" fillId="8" borderId="3" xfId="1" applyFont="1" applyFill="1" applyBorder="1" applyAlignment="1">
      <alignment horizontal="center" vertical="center" wrapText="1"/>
    </xf>
    <xf numFmtId="0" fontId="20" fillId="15" borderId="4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15" borderId="4" xfId="1" applyFont="1" applyFill="1" applyBorder="1" applyAlignment="1">
      <alignment horizontal="center" vertical="center"/>
    </xf>
    <xf numFmtId="0" fontId="23" fillId="7" borderId="6" xfId="1" applyFont="1" applyFill="1" applyBorder="1" applyAlignment="1">
      <alignment horizontal="center" vertical="center"/>
    </xf>
    <xf numFmtId="0" fontId="23" fillId="7" borderId="7" xfId="1" applyFont="1" applyFill="1" applyBorder="1" applyAlignment="1">
      <alignment horizontal="center" vertical="center"/>
    </xf>
    <xf numFmtId="0" fontId="23" fillId="7" borderId="8" xfId="1" applyFont="1" applyFill="1" applyBorder="1" applyAlignment="1">
      <alignment horizontal="center" vertical="center"/>
    </xf>
    <xf numFmtId="0" fontId="20" fillId="6" borderId="4" xfId="1" applyFont="1" applyFill="1" applyBorder="1" applyAlignment="1">
      <alignment horizontal="center" vertical="center"/>
    </xf>
    <xf numFmtId="0" fontId="19" fillId="6" borderId="1" xfId="1" applyFont="1" applyFill="1" applyBorder="1" applyAlignment="1">
      <alignment horizontal="left" vertical="center" wrapText="1"/>
    </xf>
    <xf numFmtId="31" fontId="19" fillId="6" borderId="1" xfId="1" applyNumberFormat="1" applyFont="1" applyFill="1" applyBorder="1" applyAlignment="1">
      <alignment horizontal="left" vertical="center"/>
    </xf>
    <xf numFmtId="0" fontId="19" fillId="6" borderId="1" xfId="1" applyFont="1" applyFill="1" applyBorder="1" applyAlignment="1">
      <alignment horizontal="left" vertical="center"/>
    </xf>
    <xf numFmtId="0" fontId="19" fillId="6" borderId="1" xfId="1" applyFont="1" applyFill="1" applyBorder="1" applyAlignment="1">
      <alignment horizontal="center" vertical="center"/>
    </xf>
    <xf numFmtId="0" fontId="19" fillId="15" borderId="1" xfId="1" applyFont="1" applyFill="1" applyBorder="1" applyAlignment="1">
      <alignment vertical="center" wrapText="1"/>
    </xf>
    <xf numFmtId="0" fontId="19" fillId="15" borderId="1" xfId="1" applyFont="1" applyFill="1" applyBorder="1" applyAlignment="1">
      <alignment horizontal="center" vertical="center"/>
    </xf>
    <xf numFmtId="31" fontId="19" fillId="15" borderId="1" xfId="1" applyNumberFormat="1" applyFont="1" applyFill="1" applyBorder="1" applyAlignment="1">
      <alignment horizontal="left" vertical="center"/>
    </xf>
    <xf numFmtId="0" fontId="19" fillId="15" borderId="1" xfId="1" applyFont="1" applyFill="1" applyBorder="1" applyAlignment="1">
      <alignment horizontal="left" vertical="center"/>
    </xf>
    <xf numFmtId="49" fontId="36" fillId="13" borderId="1" xfId="13" applyNumberFormat="1" applyFont="1" applyFill="1" applyBorder="1" applyAlignment="1">
      <alignment horizontal="center" vertical="center" wrapText="1"/>
    </xf>
    <xf numFmtId="0" fontId="36" fillId="5" borderId="7" xfId="2" applyFont="1" applyFill="1" applyBorder="1" applyAlignment="1">
      <alignment horizontal="center" vertical="center"/>
    </xf>
    <xf numFmtId="49" fontId="32" fillId="3" borderId="4" xfId="3" applyNumberFormat="1" applyFont="1" applyFill="1" applyBorder="1" applyAlignment="1">
      <alignment horizontal="center" vertical="center"/>
    </xf>
    <xf numFmtId="49" fontId="32" fillId="3" borderId="3" xfId="3" applyNumberFormat="1" applyFont="1" applyFill="1" applyBorder="1" applyAlignment="1">
      <alignment horizontal="center" vertical="center"/>
    </xf>
    <xf numFmtId="49" fontId="32" fillId="3" borderId="5" xfId="3" applyNumberFormat="1" applyFont="1" applyFill="1" applyBorder="1" applyAlignment="1">
      <alignment horizontal="center" vertical="center"/>
    </xf>
    <xf numFmtId="0" fontId="36" fillId="5" borderId="6" xfId="2" applyFont="1" applyFill="1" applyBorder="1" applyAlignment="1">
      <alignment horizontal="center" vertical="center"/>
    </xf>
    <xf numFmtId="49" fontId="32" fillId="6" borderId="1" xfId="3" applyNumberFormat="1" applyFont="1" applyFill="1" applyBorder="1" applyAlignment="1">
      <alignment horizontal="center" vertical="center"/>
    </xf>
    <xf numFmtId="176" fontId="21" fillId="6" borderId="1" xfId="9" applyNumberFormat="1" applyFont="1" applyFill="1" applyBorder="1" applyAlignment="1">
      <alignment horizontal="center" vertical="center"/>
    </xf>
    <xf numFmtId="0" fontId="25" fillId="14" borderId="6" xfId="3" applyFont="1" applyFill="1" applyBorder="1" applyAlignment="1">
      <alignment horizontal="center" vertical="center" wrapText="1"/>
    </xf>
    <xf numFmtId="0" fontId="25" fillId="14" borderId="2" xfId="3" applyFont="1" applyFill="1" applyBorder="1" applyAlignment="1">
      <alignment horizontal="center" vertical="center" wrapText="1"/>
    </xf>
    <xf numFmtId="176" fontId="21" fillId="6" borderId="6" xfId="9" applyNumberFormat="1" applyFont="1" applyFill="1" applyBorder="1" applyAlignment="1">
      <alignment horizontal="center" vertical="center"/>
    </xf>
    <xf numFmtId="176" fontId="21" fillId="6" borderId="7" xfId="9" applyNumberFormat="1" applyFont="1" applyFill="1" applyBorder="1" applyAlignment="1">
      <alignment horizontal="center" vertical="center"/>
    </xf>
    <xf numFmtId="176" fontId="21" fillId="6" borderId="2" xfId="9" applyNumberFormat="1" applyFont="1" applyFill="1" applyBorder="1" applyAlignment="1">
      <alignment horizontal="center" vertical="center"/>
    </xf>
  </cellXfs>
  <cellStyles count="46">
    <cellStyle name="60% - 强调文字颜色 6" xfId="4" builtinId="52"/>
    <cellStyle name="常规" xfId="0" builtinId="0"/>
    <cellStyle name="常规 2" xfId="1"/>
    <cellStyle name="常规 2 2" xfId="8"/>
    <cellStyle name="常规 2 2 2" xfId="21"/>
    <cellStyle name="常规 2 2 3" xfId="35"/>
    <cellStyle name="常规 2 3" xfId="22"/>
    <cellStyle name="常规 2 4" xfId="36"/>
    <cellStyle name="常规 3" xfId="5"/>
    <cellStyle name="常规 3 10" xfId="23"/>
    <cellStyle name="常规 3 11" xfId="37"/>
    <cellStyle name="常规 3 2" xfId="7"/>
    <cellStyle name="常规 3 2 2" xfId="10"/>
    <cellStyle name="常规 3 2 2 2" xfId="25"/>
    <cellStyle name="常规 3 2 2 3" xfId="39"/>
    <cellStyle name="常规 3 2 3" xfId="14"/>
    <cellStyle name="常规 3 2 3 2" xfId="20"/>
    <cellStyle name="常规 3 2 3 3" xfId="34"/>
    <cellStyle name="常规 3 2 4" xfId="24"/>
    <cellStyle name="常规 3 2 5" xfId="38"/>
    <cellStyle name="常规 3 3" xfId="9"/>
    <cellStyle name="常规 3 3 2" xfId="26"/>
    <cellStyle name="常规 3 3 3" xfId="40"/>
    <cellStyle name="常规 3 4" xfId="11"/>
    <cellStyle name="常规 3 4 2" xfId="27"/>
    <cellStyle name="常规 3 4 3" xfId="41"/>
    <cellStyle name="常规 3 5" xfId="12"/>
    <cellStyle name="常规 3 5 2" xfId="28"/>
    <cellStyle name="常规 3 5 3" xfId="42"/>
    <cellStyle name="常规 3 6" xfId="13"/>
    <cellStyle name="常规 3 6 2" xfId="19"/>
    <cellStyle name="常规 3 6 3" xfId="33"/>
    <cellStyle name="常规 3 7" xfId="15"/>
    <cellStyle name="常规 3 7 2" xfId="29"/>
    <cellStyle name="常规 3 7 3" xfId="43"/>
    <cellStyle name="常规 3 8" xfId="16"/>
    <cellStyle name="常规 3 8 2" xfId="30"/>
    <cellStyle name="常规 3 8 3" xfId="44"/>
    <cellStyle name="常规 3 9" xfId="17"/>
    <cellStyle name="常规 3 9 2" xfId="31"/>
    <cellStyle name="常规 3 9 3" xfId="45"/>
    <cellStyle name="常规 4" xfId="18"/>
    <cellStyle name="常规 5" xfId="32"/>
    <cellStyle name="超链接" xfId="6" builtinId="8"/>
    <cellStyle name="强调文字颜色 1" xfId="2" builtinId="29"/>
    <cellStyle name="强调文字颜色 3" xfId="3" builtinId="37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1</xdr:row>
          <xdr:rowOff>38100</xdr:rowOff>
        </xdr:from>
        <xdr:to>
          <xdr:col>6</xdr:col>
          <xdr:colOff>1295400</xdr:colOff>
          <xdr:row>1</xdr:row>
          <xdr:rowOff>257175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刷新成员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1371600</xdr:colOff>
          <xdr:row>1</xdr:row>
          <xdr:rowOff>38100</xdr:rowOff>
        </xdr:from>
        <xdr:to>
          <xdr:col>6</xdr:col>
          <xdr:colOff>1733550</xdr:colOff>
          <xdr:row>1</xdr:row>
          <xdr:rowOff>257175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9525</xdr:rowOff>
        </xdr:from>
        <xdr:to>
          <xdr:col>6</xdr:col>
          <xdr:colOff>733425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查看表格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查看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9525</xdr:rowOff>
        </xdr:from>
        <xdr:to>
          <xdr:col>7</xdr:col>
          <xdr:colOff>714375</xdr:colOff>
          <xdr:row>3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清空图表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1"/>
  <sheetViews>
    <sheetView workbookViewId="0">
      <selection activeCell="G96" sqref="G96"/>
    </sheetView>
  </sheetViews>
  <sheetFormatPr defaultRowHeight="13.5"/>
  <cols>
    <col min="1" max="1" width="23" style="2" bestFit="1" customWidth="1"/>
    <col min="2" max="2" width="18" style="1" customWidth="1"/>
    <col min="3" max="3" width="9.25" style="1" bestFit="1" customWidth="1"/>
    <col min="4" max="4" width="5.5" style="1" bestFit="1" customWidth="1"/>
    <col min="5" max="5" width="7.375" style="1" customWidth="1"/>
    <col min="6" max="6" width="8" style="1" bestFit="1" customWidth="1"/>
    <col min="7" max="7" width="23.25" style="1" bestFit="1" customWidth="1"/>
    <col min="8" max="8" width="11" style="1" customWidth="1"/>
    <col min="9" max="9" width="6.375" style="1" bestFit="1" customWidth="1"/>
    <col min="10" max="10" width="11.25" style="1" bestFit="1" customWidth="1"/>
    <col min="11" max="11" width="13.25" style="1" customWidth="1"/>
    <col min="12" max="12" width="8.625" style="1" customWidth="1"/>
    <col min="13" max="13" width="47.5" style="1" customWidth="1"/>
    <col min="14" max="16384" width="9" style="1"/>
  </cols>
  <sheetData>
    <row r="1" spans="1:13" ht="24.75">
      <c r="A1" s="258" t="s">
        <v>23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60"/>
      <c r="M1" s="5"/>
    </row>
    <row r="2" spans="1:13" ht="22.5" customHeight="1">
      <c r="A2" s="35" t="s">
        <v>22</v>
      </c>
      <c r="B2" s="35" t="s">
        <v>21</v>
      </c>
      <c r="C2" s="35" t="s">
        <v>28</v>
      </c>
      <c r="D2" s="35" t="s">
        <v>37</v>
      </c>
      <c r="E2" s="35" t="s">
        <v>42</v>
      </c>
      <c r="F2" s="35" t="s">
        <v>20</v>
      </c>
      <c r="G2" s="36" t="s">
        <v>19</v>
      </c>
      <c r="H2" s="35" t="s">
        <v>18</v>
      </c>
      <c r="I2" s="35" t="s">
        <v>17</v>
      </c>
      <c r="J2" s="35" t="s">
        <v>16</v>
      </c>
      <c r="K2" s="35" t="s">
        <v>15</v>
      </c>
      <c r="L2" s="35" t="s">
        <v>14</v>
      </c>
      <c r="M2" s="35" t="s">
        <v>13</v>
      </c>
    </row>
    <row r="3" spans="1:13" s="12" customFormat="1" ht="16.5" customHeight="1">
      <c r="A3" s="226" t="s">
        <v>132</v>
      </c>
      <c r="B3" s="229"/>
      <c r="C3" s="184" t="s">
        <v>26</v>
      </c>
      <c r="D3" s="206"/>
      <c r="E3" s="209">
        <v>0.1</v>
      </c>
      <c r="F3" s="42" t="s">
        <v>29</v>
      </c>
      <c r="G3" s="41" t="s">
        <v>143</v>
      </c>
      <c r="H3" s="37"/>
      <c r="I3" s="230"/>
      <c r="J3" s="206">
        <v>5.93</v>
      </c>
      <c r="K3" s="220"/>
      <c r="L3" s="222"/>
      <c r="M3" s="223"/>
    </row>
    <row r="4" spans="1:13" s="12" customFormat="1" ht="16.5" customHeight="1">
      <c r="A4" s="227"/>
      <c r="B4" s="229"/>
      <c r="C4" s="185"/>
      <c r="D4" s="207"/>
      <c r="E4" s="210"/>
      <c r="F4" s="42" t="s">
        <v>60</v>
      </c>
      <c r="G4" s="41"/>
      <c r="H4" s="42"/>
      <c r="I4" s="231"/>
      <c r="J4" s="207"/>
      <c r="K4" s="220"/>
      <c r="L4" s="222"/>
      <c r="M4" s="224"/>
    </row>
    <row r="5" spans="1:13" s="12" customFormat="1" ht="16.5" customHeight="1">
      <c r="A5" s="227"/>
      <c r="B5" s="229"/>
      <c r="C5" s="185"/>
      <c r="D5" s="207"/>
      <c r="E5" s="210"/>
      <c r="F5" s="42" t="s">
        <v>27</v>
      </c>
      <c r="G5" s="41"/>
      <c r="H5" s="42"/>
      <c r="I5" s="231"/>
      <c r="J5" s="207"/>
      <c r="K5" s="220"/>
      <c r="L5" s="222"/>
      <c r="M5" s="224"/>
    </row>
    <row r="6" spans="1:13" s="12" customFormat="1" ht="16.5" customHeight="1">
      <c r="A6" s="227"/>
      <c r="B6" s="229"/>
      <c r="C6" s="185"/>
      <c r="D6" s="207"/>
      <c r="E6" s="210"/>
      <c r="F6" s="42" t="s">
        <v>5</v>
      </c>
      <c r="G6" s="41"/>
      <c r="H6" s="42"/>
      <c r="I6" s="231"/>
      <c r="J6" s="207"/>
      <c r="K6" s="221"/>
      <c r="L6" s="222"/>
      <c r="M6" s="224"/>
    </row>
    <row r="7" spans="1:13" s="12" customFormat="1" ht="16.5" customHeight="1">
      <c r="A7" s="227"/>
      <c r="B7" s="229"/>
      <c r="C7" s="185"/>
      <c r="D7" s="207"/>
      <c r="E7" s="210"/>
      <c r="F7" s="42" t="s">
        <v>10</v>
      </c>
      <c r="G7" s="41"/>
      <c r="H7" s="42"/>
      <c r="I7" s="231"/>
      <c r="J7" s="207"/>
      <c r="K7" s="221"/>
      <c r="L7" s="222"/>
      <c r="M7" s="224"/>
    </row>
    <row r="8" spans="1:13" s="12" customFormat="1" ht="16.5" customHeight="1">
      <c r="A8" s="227"/>
      <c r="B8" s="229"/>
      <c r="C8" s="185"/>
      <c r="D8" s="207"/>
      <c r="E8" s="210"/>
      <c r="F8" s="42" t="s">
        <v>3</v>
      </c>
      <c r="G8" s="41"/>
      <c r="H8" s="42"/>
      <c r="I8" s="231"/>
      <c r="J8" s="207"/>
      <c r="K8" s="221"/>
      <c r="L8" s="222"/>
      <c r="M8" s="224"/>
    </row>
    <row r="9" spans="1:13" s="12" customFormat="1" ht="16.5" customHeight="1">
      <c r="A9" s="228"/>
      <c r="B9" s="229"/>
      <c r="C9" s="185"/>
      <c r="D9" s="208"/>
      <c r="E9" s="211"/>
      <c r="F9" s="42" t="s">
        <v>8</v>
      </c>
      <c r="G9" s="41"/>
      <c r="H9" s="42"/>
      <c r="I9" s="232"/>
      <c r="J9" s="30"/>
      <c r="K9" s="221"/>
      <c r="L9" s="222"/>
      <c r="M9" s="225"/>
    </row>
    <row r="10" spans="1:13" s="12" customFormat="1" ht="16.5" customHeight="1">
      <c r="A10" s="261" t="s">
        <v>114</v>
      </c>
      <c r="B10" s="262"/>
      <c r="C10" s="185"/>
      <c r="D10" s="170"/>
      <c r="E10" s="173">
        <v>0.95</v>
      </c>
      <c r="F10" s="44" t="s">
        <v>29</v>
      </c>
      <c r="G10" s="46"/>
      <c r="H10" s="47"/>
      <c r="I10" s="179"/>
      <c r="J10" s="170">
        <v>15</v>
      </c>
      <c r="K10" s="263"/>
      <c r="L10" s="265"/>
      <c r="M10" s="256"/>
    </row>
    <row r="11" spans="1:13" s="12" customFormat="1" ht="16.5" customHeight="1">
      <c r="A11" s="165"/>
      <c r="B11" s="262"/>
      <c r="C11" s="185"/>
      <c r="D11" s="171"/>
      <c r="E11" s="174"/>
      <c r="F11" s="44" t="s">
        <v>60</v>
      </c>
      <c r="G11" s="46"/>
      <c r="H11" s="44"/>
      <c r="I11" s="180"/>
      <c r="J11" s="171"/>
      <c r="K11" s="263"/>
      <c r="L11" s="265"/>
      <c r="M11" s="250"/>
    </row>
    <row r="12" spans="1:13" s="12" customFormat="1" ht="16.5" customHeight="1">
      <c r="A12" s="165"/>
      <c r="B12" s="262"/>
      <c r="C12" s="185"/>
      <c r="D12" s="171"/>
      <c r="E12" s="174"/>
      <c r="F12" s="44" t="s">
        <v>27</v>
      </c>
      <c r="G12" s="46"/>
      <c r="H12" s="44"/>
      <c r="I12" s="180"/>
      <c r="J12" s="171"/>
      <c r="K12" s="263"/>
      <c r="L12" s="265"/>
      <c r="M12" s="250"/>
    </row>
    <row r="13" spans="1:13" s="12" customFormat="1" ht="16.5" customHeight="1">
      <c r="A13" s="165"/>
      <c r="B13" s="262"/>
      <c r="C13" s="185"/>
      <c r="D13" s="171"/>
      <c r="E13" s="174"/>
      <c r="F13" s="44" t="s">
        <v>11</v>
      </c>
      <c r="G13" s="46"/>
      <c r="H13" s="44"/>
      <c r="I13" s="180"/>
      <c r="J13" s="171"/>
      <c r="K13" s="264"/>
      <c r="L13" s="265"/>
      <c r="M13" s="250"/>
    </row>
    <row r="14" spans="1:13" s="12" customFormat="1" ht="16.5" customHeight="1">
      <c r="A14" s="165"/>
      <c r="B14" s="262"/>
      <c r="C14" s="185"/>
      <c r="D14" s="171"/>
      <c r="E14" s="174"/>
      <c r="F14" s="44" t="s">
        <v>10</v>
      </c>
      <c r="G14" s="46"/>
      <c r="H14" s="44"/>
      <c r="I14" s="180"/>
      <c r="J14" s="171"/>
      <c r="K14" s="264"/>
      <c r="L14" s="265"/>
      <c r="M14" s="250"/>
    </row>
    <row r="15" spans="1:13" s="12" customFormat="1" ht="16.5" customHeight="1">
      <c r="A15" s="165"/>
      <c r="B15" s="262"/>
      <c r="C15" s="185"/>
      <c r="D15" s="171"/>
      <c r="E15" s="174"/>
      <c r="F15" s="44" t="s">
        <v>9</v>
      </c>
      <c r="G15" s="46"/>
      <c r="H15" s="44"/>
      <c r="I15" s="180"/>
      <c r="J15" s="172"/>
      <c r="K15" s="264"/>
      <c r="L15" s="265"/>
      <c r="M15" s="250"/>
    </row>
    <row r="16" spans="1:13" s="12" customFormat="1" ht="16.5" customHeight="1">
      <c r="A16" s="166"/>
      <c r="B16" s="262"/>
      <c r="C16" s="185"/>
      <c r="D16" s="172"/>
      <c r="E16" s="175"/>
      <c r="F16" s="44" t="s">
        <v>8</v>
      </c>
      <c r="G16" s="46"/>
      <c r="H16" s="44"/>
      <c r="I16" s="181"/>
      <c r="J16" s="48"/>
      <c r="K16" s="264"/>
      <c r="L16" s="265"/>
      <c r="M16" s="251"/>
    </row>
    <row r="17" spans="1:13" s="12" customFormat="1" ht="16.5" customHeight="1">
      <c r="A17" s="187" t="s">
        <v>142</v>
      </c>
      <c r="B17" s="266"/>
      <c r="C17" s="185"/>
      <c r="D17" s="194"/>
      <c r="E17" s="197">
        <v>0.1</v>
      </c>
      <c r="F17" s="28" t="s">
        <v>38</v>
      </c>
      <c r="G17" s="32" t="s">
        <v>39</v>
      </c>
      <c r="H17" s="28"/>
      <c r="I17" s="217" t="s">
        <v>147</v>
      </c>
      <c r="J17" s="267">
        <v>21</v>
      </c>
      <c r="K17" s="268"/>
      <c r="L17" s="267"/>
      <c r="M17" s="257"/>
    </row>
    <row r="18" spans="1:13" s="12" customFormat="1" ht="16.5" customHeight="1">
      <c r="A18" s="188"/>
      <c r="B18" s="266"/>
      <c r="C18" s="185"/>
      <c r="D18" s="195"/>
      <c r="E18" s="198"/>
      <c r="F18" s="28" t="s">
        <v>60</v>
      </c>
      <c r="G18" s="32"/>
      <c r="H18" s="28"/>
      <c r="I18" s="218"/>
      <c r="J18" s="267"/>
      <c r="K18" s="268"/>
      <c r="L18" s="267"/>
      <c r="M18" s="212"/>
    </row>
    <row r="19" spans="1:13" s="12" customFormat="1" ht="16.5" customHeight="1">
      <c r="A19" s="189"/>
      <c r="B19" s="266"/>
      <c r="C19" s="185"/>
      <c r="D19" s="195"/>
      <c r="E19" s="198"/>
      <c r="F19" s="28" t="s">
        <v>12</v>
      </c>
      <c r="G19" s="32"/>
      <c r="H19" s="28"/>
      <c r="I19" s="218"/>
      <c r="J19" s="267"/>
      <c r="K19" s="269"/>
      <c r="L19" s="267"/>
      <c r="M19" s="212"/>
    </row>
    <row r="20" spans="1:13" s="12" customFormat="1" ht="16.5" customHeight="1">
      <c r="A20" s="189"/>
      <c r="B20" s="266"/>
      <c r="C20" s="185"/>
      <c r="D20" s="195"/>
      <c r="E20" s="198"/>
      <c r="F20" s="28" t="s">
        <v>11</v>
      </c>
      <c r="G20" s="32"/>
      <c r="H20" s="28"/>
      <c r="I20" s="218"/>
      <c r="J20" s="267"/>
      <c r="K20" s="269"/>
      <c r="L20" s="267"/>
      <c r="M20" s="212"/>
    </row>
    <row r="21" spans="1:13" s="12" customFormat="1" ht="16.5" customHeight="1">
      <c r="A21" s="189"/>
      <c r="B21" s="266"/>
      <c r="C21" s="185"/>
      <c r="D21" s="195"/>
      <c r="E21" s="198"/>
      <c r="F21" s="28" t="s">
        <v>10</v>
      </c>
      <c r="G21" s="32" t="s">
        <v>145</v>
      </c>
      <c r="H21" s="28"/>
      <c r="I21" s="218"/>
      <c r="J21" s="267"/>
      <c r="K21" s="269"/>
      <c r="L21" s="267"/>
      <c r="M21" s="212"/>
    </row>
    <row r="22" spans="1:13" s="12" customFormat="1" ht="16.5" customHeight="1">
      <c r="A22" s="189"/>
      <c r="B22" s="266"/>
      <c r="C22" s="185"/>
      <c r="D22" s="195"/>
      <c r="E22" s="198"/>
      <c r="F22" s="28" t="s">
        <v>9</v>
      </c>
      <c r="G22" s="32" t="s">
        <v>146</v>
      </c>
      <c r="H22" s="28"/>
      <c r="I22" s="218"/>
      <c r="J22" s="267"/>
      <c r="K22" s="269"/>
      <c r="L22" s="267"/>
      <c r="M22" s="212"/>
    </row>
    <row r="23" spans="1:13" s="12" customFormat="1" ht="16.5" customHeight="1">
      <c r="A23" s="189"/>
      <c r="B23" s="266"/>
      <c r="C23" s="185"/>
      <c r="D23" s="196"/>
      <c r="E23" s="199"/>
      <c r="F23" s="28" t="s">
        <v>8</v>
      </c>
      <c r="G23" s="32"/>
      <c r="H23" s="28"/>
      <c r="I23" s="219"/>
      <c r="J23" s="110"/>
      <c r="K23" s="269"/>
      <c r="L23" s="267"/>
      <c r="M23" s="213"/>
    </row>
    <row r="24" spans="1:13" s="12" customFormat="1" ht="16.5">
      <c r="A24" s="236" t="s">
        <v>112</v>
      </c>
      <c r="B24" s="233"/>
      <c r="C24" s="185"/>
      <c r="D24" s="206"/>
      <c r="E24" s="209">
        <v>0.9</v>
      </c>
      <c r="F24" s="42" t="s">
        <v>32</v>
      </c>
      <c r="G24" s="30"/>
      <c r="H24" s="13"/>
      <c r="I24" s="230"/>
      <c r="J24" s="206">
        <v>26</v>
      </c>
      <c r="K24" s="230"/>
      <c r="L24" s="230"/>
      <c r="M24" s="39"/>
    </row>
    <row r="25" spans="1:13" s="12" customFormat="1" ht="16.5">
      <c r="A25" s="204"/>
      <c r="B25" s="234"/>
      <c r="C25" s="185"/>
      <c r="D25" s="207"/>
      <c r="E25" s="210"/>
      <c r="F25" s="42" t="s">
        <v>60</v>
      </c>
      <c r="G25" s="30"/>
      <c r="H25" s="13"/>
      <c r="I25" s="231"/>
      <c r="J25" s="207"/>
      <c r="K25" s="231"/>
      <c r="L25" s="231"/>
      <c r="M25" s="39"/>
    </row>
    <row r="26" spans="1:13" s="12" customFormat="1" ht="16.5">
      <c r="A26" s="204"/>
      <c r="B26" s="234"/>
      <c r="C26" s="185"/>
      <c r="D26" s="207"/>
      <c r="E26" s="210"/>
      <c r="F26" s="42" t="s">
        <v>6</v>
      </c>
      <c r="G26" s="41"/>
      <c r="H26" s="13"/>
      <c r="I26" s="231"/>
      <c r="J26" s="207"/>
      <c r="K26" s="231"/>
      <c r="L26" s="231"/>
      <c r="M26" s="224"/>
    </row>
    <row r="27" spans="1:13" s="12" customFormat="1" ht="16.5">
      <c r="A27" s="204"/>
      <c r="B27" s="234"/>
      <c r="C27" s="185"/>
      <c r="D27" s="207"/>
      <c r="E27" s="210"/>
      <c r="F27" s="42" t="s">
        <v>5</v>
      </c>
      <c r="G27" s="41"/>
      <c r="H27" s="13"/>
      <c r="I27" s="231"/>
      <c r="J27" s="207"/>
      <c r="K27" s="231"/>
      <c r="L27" s="231"/>
      <c r="M27" s="224"/>
    </row>
    <row r="28" spans="1:13" s="12" customFormat="1" ht="16.5">
      <c r="A28" s="204"/>
      <c r="B28" s="234"/>
      <c r="C28" s="185"/>
      <c r="D28" s="207"/>
      <c r="E28" s="210"/>
      <c r="F28" s="42" t="s">
        <v>4</v>
      </c>
      <c r="G28" s="41"/>
      <c r="H28" s="13"/>
      <c r="I28" s="231"/>
      <c r="J28" s="207"/>
      <c r="K28" s="231"/>
      <c r="L28" s="231"/>
      <c r="M28" s="224"/>
    </row>
    <row r="29" spans="1:13" s="12" customFormat="1" ht="16.5">
      <c r="A29" s="204"/>
      <c r="B29" s="234"/>
      <c r="C29" s="185"/>
      <c r="D29" s="207"/>
      <c r="E29" s="210"/>
      <c r="F29" s="42" t="s">
        <v>3</v>
      </c>
      <c r="G29" s="41"/>
      <c r="H29" s="13"/>
      <c r="I29" s="231"/>
      <c r="J29" s="208"/>
      <c r="K29" s="231"/>
      <c r="L29" s="231"/>
      <c r="M29" s="224"/>
    </row>
    <row r="30" spans="1:13" s="12" customFormat="1" ht="16.5">
      <c r="A30" s="205"/>
      <c r="B30" s="235"/>
      <c r="C30" s="185"/>
      <c r="D30" s="208"/>
      <c r="E30" s="211"/>
      <c r="F30" s="42" t="s">
        <v>2</v>
      </c>
      <c r="G30" s="41"/>
      <c r="H30" s="13"/>
      <c r="I30" s="232"/>
      <c r="J30" s="111"/>
      <c r="K30" s="232"/>
      <c r="L30" s="232"/>
      <c r="M30" s="225"/>
    </row>
    <row r="31" spans="1:13" s="12" customFormat="1" ht="16.5">
      <c r="A31" s="237" t="s">
        <v>144</v>
      </c>
      <c r="B31" s="167"/>
      <c r="C31" s="185"/>
      <c r="D31" s="170"/>
      <c r="E31" s="173">
        <v>1</v>
      </c>
      <c r="F31" s="44" t="s">
        <v>32</v>
      </c>
      <c r="G31" s="43"/>
      <c r="H31" s="3"/>
      <c r="I31" s="179"/>
      <c r="J31" s="170"/>
      <c r="K31" s="179"/>
      <c r="L31" s="179"/>
      <c r="M31" s="38"/>
    </row>
    <row r="32" spans="1:13" s="12" customFormat="1" ht="16.5">
      <c r="A32" s="238"/>
      <c r="B32" s="168"/>
      <c r="C32" s="185"/>
      <c r="D32" s="171"/>
      <c r="E32" s="174"/>
      <c r="F32" s="44" t="s">
        <v>60</v>
      </c>
      <c r="G32" s="43"/>
      <c r="H32" s="3"/>
      <c r="I32" s="180"/>
      <c r="J32" s="171"/>
      <c r="K32" s="180"/>
      <c r="L32" s="180"/>
      <c r="M32" s="38"/>
    </row>
    <row r="33" spans="1:13" s="12" customFormat="1" ht="16.5">
      <c r="A33" s="238"/>
      <c r="B33" s="168"/>
      <c r="C33" s="185"/>
      <c r="D33" s="171"/>
      <c r="E33" s="174"/>
      <c r="F33" s="44" t="s">
        <v>6</v>
      </c>
      <c r="G33" s="46"/>
      <c r="H33" s="3"/>
      <c r="I33" s="180"/>
      <c r="J33" s="171"/>
      <c r="K33" s="180"/>
      <c r="L33" s="180"/>
      <c r="M33" s="250"/>
    </row>
    <row r="34" spans="1:13" s="12" customFormat="1" ht="16.5">
      <c r="A34" s="238"/>
      <c r="B34" s="168"/>
      <c r="C34" s="185"/>
      <c r="D34" s="171"/>
      <c r="E34" s="174"/>
      <c r="F34" s="44" t="s">
        <v>5</v>
      </c>
      <c r="G34" s="46"/>
      <c r="H34" s="3"/>
      <c r="I34" s="180"/>
      <c r="J34" s="171"/>
      <c r="K34" s="180"/>
      <c r="L34" s="180"/>
      <c r="M34" s="250"/>
    </row>
    <row r="35" spans="1:13" s="12" customFormat="1" ht="16.5">
      <c r="A35" s="238"/>
      <c r="B35" s="168"/>
      <c r="C35" s="185"/>
      <c r="D35" s="171"/>
      <c r="E35" s="174"/>
      <c r="F35" s="44" t="s">
        <v>4</v>
      </c>
      <c r="G35" s="46"/>
      <c r="H35" s="3"/>
      <c r="I35" s="180"/>
      <c r="J35" s="171"/>
      <c r="K35" s="180"/>
      <c r="L35" s="180"/>
      <c r="M35" s="250"/>
    </row>
    <row r="36" spans="1:13" s="12" customFormat="1" ht="16.5">
      <c r="A36" s="238"/>
      <c r="B36" s="168"/>
      <c r="C36" s="185"/>
      <c r="D36" s="171"/>
      <c r="E36" s="174"/>
      <c r="F36" s="44" t="s">
        <v>3</v>
      </c>
      <c r="G36" s="46"/>
      <c r="H36" s="3"/>
      <c r="I36" s="180"/>
      <c r="J36" s="172"/>
      <c r="K36" s="180"/>
      <c r="L36" s="180"/>
      <c r="M36" s="250"/>
    </row>
    <row r="37" spans="1:13" s="12" customFormat="1" ht="16.5">
      <c r="A37" s="239"/>
      <c r="B37" s="169"/>
      <c r="C37" s="185"/>
      <c r="D37" s="172"/>
      <c r="E37" s="175"/>
      <c r="F37" s="44" t="s">
        <v>2</v>
      </c>
      <c r="G37" s="46"/>
      <c r="H37" s="3"/>
      <c r="I37" s="181"/>
      <c r="J37" s="108"/>
      <c r="K37" s="181"/>
      <c r="L37" s="181"/>
      <c r="M37" s="251"/>
    </row>
    <row r="38" spans="1:13" s="12" customFormat="1" ht="16.5">
      <c r="A38" s="214" t="s">
        <v>148</v>
      </c>
      <c r="B38" s="191"/>
      <c r="C38" s="185"/>
      <c r="D38" s="194"/>
      <c r="E38" s="197"/>
      <c r="F38" s="27" t="s">
        <v>32</v>
      </c>
      <c r="G38" s="32"/>
      <c r="H38" s="28"/>
      <c r="I38" s="217"/>
      <c r="J38" s="194"/>
      <c r="K38" s="217"/>
      <c r="L38" s="217"/>
      <c r="M38" s="40"/>
    </row>
    <row r="39" spans="1:13" s="12" customFormat="1" ht="16.5">
      <c r="A39" s="215"/>
      <c r="B39" s="192"/>
      <c r="C39" s="185"/>
      <c r="D39" s="195"/>
      <c r="E39" s="198"/>
      <c r="F39" s="27" t="s">
        <v>60</v>
      </c>
      <c r="G39" s="32"/>
      <c r="H39" s="28"/>
      <c r="I39" s="218"/>
      <c r="J39" s="195"/>
      <c r="K39" s="218"/>
      <c r="L39" s="218"/>
      <c r="M39" s="40"/>
    </row>
    <row r="40" spans="1:13" s="12" customFormat="1" ht="16.5">
      <c r="A40" s="215"/>
      <c r="B40" s="192"/>
      <c r="C40" s="185"/>
      <c r="D40" s="195"/>
      <c r="E40" s="198"/>
      <c r="F40" s="27" t="s">
        <v>6</v>
      </c>
      <c r="G40" s="33"/>
      <c r="H40" s="28"/>
      <c r="I40" s="218"/>
      <c r="J40" s="195"/>
      <c r="K40" s="218"/>
      <c r="L40" s="218"/>
      <c r="M40" s="212"/>
    </row>
    <row r="41" spans="1:13" s="12" customFormat="1" ht="16.5">
      <c r="A41" s="215"/>
      <c r="B41" s="192"/>
      <c r="C41" s="185"/>
      <c r="D41" s="195"/>
      <c r="E41" s="198"/>
      <c r="F41" s="27" t="s">
        <v>5</v>
      </c>
      <c r="G41" s="33"/>
      <c r="H41" s="28"/>
      <c r="I41" s="218"/>
      <c r="J41" s="195"/>
      <c r="K41" s="218"/>
      <c r="L41" s="218"/>
      <c r="M41" s="212"/>
    </row>
    <row r="42" spans="1:13" s="12" customFormat="1" ht="16.5">
      <c r="A42" s="215"/>
      <c r="B42" s="192"/>
      <c r="C42" s="185"/>
      <c r="D42" s="195"/>
      <c r="E42" s="198"/>
      <c r="F42" s="27" t="s">
        <v>4</v>
      </c>
      <c r="G42" s="33"/>
      <c r="H42" s="28"/>
      <c r="I42" s="218"/>
      <c r="J42" s="195"/>
      <c r="K42" s="218"/>
      <c r="L42" s="218"/>
      <c r="M42" s="212"/>
    </row>
    <row r="43" spans="1:13" s="12" customFormat="1" ht="16.5">
      <c r="A43" s="215"/>
      <c r="B43" s="192"/>
      <c r="C43" s="185"/>
      <c r="D43" s="195"/>
      <c r="E43" s="198"/>
      <c r="F43" s="27" t="s">
        <v>3</v>
      </c>
      <c r="G43" s="33"/>
      <c r="H43" s="28"/>
      <c r="I43" s="218"/>
      <c r="J43" s="196"/>
      <c r="K43" s="218"/>
      <c r="L43" s="218"/>
      <c r="M43" s="212"/>
    </row>
    <row r="44" spans="1:13" s="12" customFormat="1" ht="16.5">
      <c r="A44" s="216"/>
      <c r="B44" s="193"/>
      <c r="C44" s="186"/>
      <c r="D44" s="196"/>
      <c r="E44" s="199"/>
      <c r="F44" s="27" t="s">
        <v>2</v>
      </c>
      <c r="G44" s="33"/>
      <c r="H44" s="28"/>
      <c r="I44" s="219"/>
      <c r="J44" s="110"/>
      <c r="K44" s="219"/>
      <c r="L44" s="219"/>
      <c r="M44" s="213"/>
    </row>
    <row r="45" spans="1:13" s="14" customFormat="1" ht="16.5" customHeight="1">
      <c r="A45" s="236" t="s">
        <v>24</v>
      </c>
      <c r="B45" s="233" t="s">
        <v>31</v>
      </c>
      <c r="C45" s="252" t="s">
        <v>41</v>
      </c>
      <c r="D45" s="206"/>
      <c r="E45" s="209">
        <v>1</v>
      </c>
      <c r="F45" s="13" t="s">
        <v>32</v>
      </c>
      <c r="G45" s="30"/>
      <c r="H45" s="13">
        <v>100</v>
      </c>
      <c r="I45" s="206" t="s">
        <v>36</v>
      </c>
      <c r="J45" s="230">
        <v>49</v>
      </c>
      <c r="K45" s="230"/>
      <c r="L45" s="230"/>
      <c r="M45" s="39"/>
    </row>
    <row r="46" spans="1:13" s="14" customFormat="1" ht="16.5" customHeight="1">
      <c r="A46" s="204"/>
      <c r="B46" s="234"/>
      <c r="C46" s="253"/>
      <c r="D46" s="207"/>
      <c r="E46" s="210"/>
      <c r="F46" s="13" t="s">
        <v>33</v>
      </c>
      <c r="G46" s="34" t="s">
        <v>40</v>
      </c>
      <c r="H46" s="13">
        <v>100</v>
      </c>
      <c r="I46" s="207"/>
      <c r="J46" s="231"/>
      <c r="K46" s="231"/>
      <c r="L46" s="231"/>
      <c r="M46" s="248"/>
    </row>
    <row r="47" spans="1:13" s="14" customFormat="1" ht="16.5" customHeight="1">
      <c r="A47" s="204"/>
      <c r="B47" s="234"/>
      <c r="C47" s="253"/>
      <c r="D47" s="207"/>
      <c r="E47" s="210"/>
      <c r="F47" s="13" t="s">
        <v>34</v>
      </c>
      <c r="G47" s="30"/>
      <c r="H47" s="13"/>
      <c r="I47" s="207"/>
      <c r="J47" s="231"/>
      <c r="K47" s="231"/>
      <c r="L47" s="231"/>
      <c r="M47" s="248"/>
    </row>
    <row r="48" spans="1:13" s="14" customFormat="1" ht="16.5" customHeight="1">
      <c r="A48" s="204"/>
      <c r="B48" s="234"/>
      <c r="C48" s="253"/>
      <c r="D48" s="207"/>
      <c r="E48" s="210"/>
      <c r="F48" s="13" t="s">
        <v>5</v>
      </c>
      <c r="G48" s="30" t="s">
        <v>35</v>
      </c>
      <c r="H48" s="13">
        <v>100</v>
      </c>
      <c r="I48" s="207"/>
      <c r="J48" s="231"/>
      <c r="K48" s="231"/>
      <c r="L48" s="231"/>
      <c r="M48" s="248"/>
    </row>
    <row r="49" spans="1:13" s="14" customFormat="1" ht="16.5" customHeight="1">
      <c r="A49" s="204"/>
      <c r="B49" s="234"/>
      <c r="C49" s="253"/>
      <c r="D49" s="207"/>
      <c r="E49" s="210"/>
      <c r="F49" s="13" t="s">
        <v>4</v>
      </c>
      <c r="G49" s="30"/>
      <c r="H49" s="13">
        <v>100</v>
      </c>
      <c r="I49" s="207"/>
      <c r="J49" s="231"/>
      <c r="K49" s="231"/>
      <c r="L49" s="231"/>
      <c r="M49" s="248"/>
    </row>
    <row r="50" spans="1:13" s="14" customFormat="1" ht="16.5" customHeight="1">
      <c r="A50" s="204"/>
      <c r="B50" s="234"/>
      <c r="C50" s="253"/>
      <c r="D50" s="207"/>
      <c r="E50" s="210"/>
      <c r="F50" s="13" t="s">
        <v>3</v>
      </c>
      <c r="G50" s="30"/>
      <c r="H50" s="13">
        <v>100</v>
      </c>
      <c r="I50" s="207"/>
      <c r="J50" s="232"/>
      <c r="K50" s="231"/>
      <c r="L50" s="231"/>
      <c r="M50" s="248"/>
    </row>
    <row r="51" spans="1:13" s="14" customFormat="1" ht="16.5" customHeight="1">
      <c r="A51" s="205"/>
      <c r="B51" s="235"/>
      <c r="C51" s="253"/>
      <c r="D51" s="208"/>
      <c r="E51" s="211"/>
      <c r="F51" s="13" t="s">
        <v>8</v>
      </c>
      <c r="G51" s="30"/>
      <c r="H51" s="13"/>
      <c r="I51" s="208"/>
      <c r="J51" s="111"/>
      <c r="K51" s="232"/>
      <c r="L51" s="232"/>
      <c r="M51" s="249"/>
    </row>
    <row r="52" spans="1:13" ht="16.5">
      <c r="A52" s="237" t="s">
        <v>149</v>
      </c>
      <c r="B52" s="167"/>
      <c r="C52" s="253"/>
      <c r="D52" s="170"/>
      <c r="E52" s="173">
        <v>0.8</v>
      </c>
      <c r="F52" s="3" t="s">
        <v>32</v>
      </c>
      <c r="G52" s="7"/>
      <c r="H52" s="3"/>
      <c r="I52" s="179"/>
      <c r="J52" s="179">
        <v>6</v>
      </c>
      <c r="K52" s="179"/>
      <c r="L52" s="179"/>
      <c r="M52" s="8"/>
    </row>
    <row r="53" spans="1:13" ht="16.5">
      <c r="A53" s="238"/>
      <c r="B53" s="168"/>
      <c r="C53" s="253"/>
      <c r="D53" s="171"/>
      <c r="E53" s="174"/>
      <c r="F53" s="3" t="s">
        <v>61</v>
      </c>
      <c r="G53" s="7"/>
      <c r="H53" s="3"/>
      <c r="I53" s="180"/>
      <c r="J53" s="180"/>
      <c r="K53" s="180"/>
      <c r="L53" s="180"/>
      <c r="M53" s="8"/>
    </row>
    <row r="54" spans="1:13" ht="16.5">
      <c r="A54" s="238"/>
      <c r="B54" s="168"/>
      <c r="C54" s="253"/>
      <c r="D54" s="171"/>
      <c r="E54" s="174"/>
      <c r="F54" s="3" t="s">
        <v>12</v>
      </c>
      <c r="G54" s="7"/>
      <c r="H54" s="3"/>
      <c r="I54" s="180"/>
      <c r="J54" s="180"/>
      <c r="K54" s="180"/>
      <c r="L54" s="180"/>
      <c r="M54" s="250"/>
    </row>
    <row r="55" spans="1:13" ht="16.5">
      <c r="A55" s="238"/>
      <c r="B55" s="168"/>
      <c r="C55" s="253"/>
      <c r="D55" s="171"/>
      <c r="E55" s="174"/>
      <c r="F55" s="3" t="s">
        <v>11</v>
      </c>
      <c r="G55" s="7"/>
      <c r="H55" s="3"/>
      <c r="I55" s="180"/>
      <c r="J55" s="180"/>
      <c r="K55" s="180"/>
      <c r="L55" s="180"/>
      <c r="M55" s="250"/>
    </row>
    <row r="56" spans="1:13" ht="16.5">
      <c r="A56" s="238"/>
      <c r="B56" s="168"/>
      <c r="C56" s="253"/>
      <c r="D56" s="171"/>
      <c r="E56" s="174"/>
      <c r="F56" s="3" t="s">
        <v>10</v>
      </c>
      <c r="G56" s="7"/>
      <c r="H56" s="3"/>
      <c r="I56" s="180"/>
      <c r="J56" s="180"/>
      <c r="K56" s="180"/>
      <c r="L56" s="180"/>
      <c r="M56" s="250"/>
    </row>
    <row r="57" spans="1:13" ht="16.5">
      <c r="A57" s="238"/>
      <c r="B57" s="168"/>
      <c r="C57" s="253"/>
      <c r="D57" s="171"/>
      <c r="E57" s="174"/>
      <c r="F57" s="3" t="s">
        <v>9</v>
      </c>
      <c r="G57" s="7"/>
      <c r="H57" s="3"/>
      <c r="I57" s="180"/>
      <c r="J57" s="181"/>
      <c r="K57" s="180"/>
      <c r="L57" s="180"/>
      <c r="M57" s="250"/>
    </row>
    <row r="58" spans="1:13" ht="16.5">
      <c r="A58" s="239"/>
      <c r="B58" s="169"/>
      <c r="C58" s="253"/>
      <c r="D58" s="172"/>
      <c r="E58" s="175"/>
      <c r="F58" s="3" t="s">
        <v>8</v>
      </c>
      <c r="G58" s="7"/>
      <c r="H58" s="3"/>
      <c r="I58" s="181"/>
      <c r="J58" s="108"/>
      <c r="K58" s="181"/>
      <c r="L58" s="181"/>
      <c r="M58" s="251"/>
    </row>
    <row r="59" spans="1:13" ht="17.25" customHeight="1">
      <c r="A59" s="236" t="s">
        <v>84</v>
      </c>
      <c r="B59" s="236"/>
      <c r="C59" s="253"/>
      <c r="D59" s="236">
        <v>2</v>
      </c>
      <c r="E59" s="209">
        <v>0.2</v>
      </c>
      <c r="F59" s="13" t="s">
        <v>150</v>
      </c>
      <c r="G59" s="30"/>
      <c r="H59" s="13"/>
      <c r="I59" s="236"/>
      <c r="J59" s="230">
        <v>9</v>
      </c>
      <c r="K59" s="236"/>
      <c r="L59" s="236"/>
      <c r="M59" s="236"/>
    </row>
    <row r="60" spans="1:13" ht="17.25" customHeight="1">
      <c r="A60" s="204"/>
      <c r="B60" s="204"/>
      <c r="C60" s="253"/>
      <c r="D60" s="204"/>
      <c r="E60" s="210"/>
      <c r="F60" s="13" t="s">
        <v>60</v>
      </c>
      <c r="G60" s="30"/>
      <c r="H60" s="13"/>
      <c r="I60" s="204"/>
      <c r="J60" s="231"/>
      <c r="K60" s="204"/>
      <c r="L60" s="204"/>
      <c r="M60" s="204"/>
    </row>
    <row r="61" spans="1:13" ht="17.25" customHeight="1">
      <c r="A61" s="204"/>
      <c r="B61" s="204"/>
      <c r="C61" s="253"/>
      <c r="D61" s="204"/>
      <c r="E61" s="210"/>
      <c r="F61" s="13" t="s">
        <v>151</v>
      </c>
      <c r="G61" s="30" t="s">
        <v>162</v>
      </c>
      <c r="H61" s="13"/>
      <c r="I61" s="204"/>
      <c r="J61" s="231"/>
      <c r="K61" s="204"/>
      <c r="L61" s="204"/>
      <c r="M61" s="204"/>
    </row>
    <row r="62" spans="1:13" ht="17.25" customHeight="1">
      <c r="A62" s="204"/>
      <c r="B62" s="204"/>
      <c r="C62" s="253"/>
      <c r="D62" s="204"/>
      <c r="E62" s="210"/>
      <c r="F62" s="13" t="s">
        <v>152</v>
      </c>
      <c r="G62" s="30"/>
      <c r="H62" s="13"/>
      <c r="I62" s="204"/>
      <c r="J62" s="231"/>
      <c r="K62" s="204"/>
      <c r="L62" s="204"/>
      <c r="M62" s="204"/>
    </row>
    <row r="63" spans="1:13" ht="17.25" customHeight="1">
      <c r="A63" s="204"/>
      <c r="B63" s="204"/>
      <c r="C63" s="253"/>
      <c r="D63" s="204"/>
      <c r="E63" s="210"/>
      <c r="F63" s="13" t="s">
        <v>153</v>
      </c>
      <c r="G63" s="30"/>
      <c r="H63" s="13"/>
      <c r="I63" s="204"/>
      <c r="J63" s="231"/>
      <c r="K63" s="204"/>
      <c r="L63" s="204"/>
      <c r="M63" s="204"/>
    </row>
    <row r="64" spans="1:13" ht="17.25" customHeight="1">
      <c r="A64" s="204"/>
      <c r="B64" s="204"/>
      <c r="C64" s="253"/>
      <c r="D64" s="204"/>
      <c r="E64" s="210"/>
      <c r="F64" s="13" t="s">
        <v>154</v>
      </c>
      <c r="G64" s="30"/>
      <c r="H64" s="13"/>
      <c r="I64" s="204"/>
      <c r="J64" s="232"/>
      <c r="K64" s="204"/>
      <c r="L64" s="204"/>
      <c r="M64" s="204"/>
    </row>
    <row r="65" spans="1:13" ht="17.25" customHeight="1">
      <c r="A65" s="205"/>
      <c r="B65" s="205"/>
      <c r="C65" s="253"/>
      <c r="D65" s="205"/>
      <c r="E65" s="211"/>
      <c r="F65" s="13" t="s">
        <v>155</v>
      </c>
      <c r="G65" s="30"/>
      <c r="H65" s="13"/>
      <c r="I65" s="205"/>
      <c r="J65" s="112"/>
      <c r="K65" s="205"/>
      <c r="L65" s="205"/>
      <c r="M65" s="205"/>
    </row>
    <row r="66" spans="1:13" s="14" customFormat="1" ht="16.5">
      <c r="A66" s="255" t="s">
        <v>133</v>
      </c>
      <c r="B66" s="191"/>
      <c r="C66" s="253"/>
      <c r="D66" s="194"/>
      <c r="E66" s="197">
        <v>0.2</v>
      </c>
      <c r="F66" s="28" t="s">
        <v>32</v>
      </c>
      <c r="G66" s="32"/>
      <c r="H66" s="28"/>
      <c r="I66" s="194"/>
      <c r="J66" s="217"/>
      <c r="K66" s="217"/>
      <c r="L66" s="217"/>
      <c r="M66" s="29"/>
    </row>
    <row r="67" spans="1:13" s="14" customFormat="1" ht="16.5">
      <c r="A67" s="189"/>
      <c r="B67" s="192"/>
      <c r="C67" s="253"/>
      <c r="D67" s="195"/>
      <c r="E67" s="198"/>
      <c r="F67" s="28" t="s">
        <v>61</v>
      </c>
      <c r="G67" s="32"/>
      <c r="H67" s="28"/>
      <c r="I67" s="195"/>
      <c r="J67" s="218"/>
      <c r="K67" s="218"/>
      <c r="L67" s="218"/>
      <c r="M67" s="29"/>
    </row>
    <row r="68" spans="1:13" s="14" customFormat="1" ht="16.5">
      <c r="A68" s="189"/>
      <c r="B68" s="192"/>
      <c r="C68" s="253"/>
      <c r="D68" s="195"/>
      <c r="E68" s="198"/>
      <c r="F68" s="28" t="s">
        <v>12</v>
      </c>
      <c r="G68" s="32"/>
      <c r="H68" s="28"/>
      <c r="I68" s="218"/>
      <c r="J68" s="218"/>
      <c r="K68" s="218"/>
      <c r="L68" s="218"/>
      <c r="M68" s="218"/>
    </row>
    <row r="69" spans="1:13" s="14" customFormat="1" ht="16.5">
      <c r="A69" s="189"/>
      <c r="B69" s="192"/>
      <c r="C69" s="253"/>
      <c r="D69" s="195"/>
      <c r="E69" s="198"/>
      <c r="F69" s="28" t="s">
        <v>11</v>
      </c>
      <c r="G69" s="32"/>
      <c r="H69" s="28"/>
      <c r="I69" s="218"/>
      <c r="J69" s="218"/>
      <c r="K69" s="218"/>
      <c r="L69" s="218"/>
      <c r="M69" s="218"/>
    </row>
    <row r="70" spans="1:13" s="14" customFormat="1" ht="16.5">
      <c r="A70" s="189"/>
      <c r="B70" s="192"/>
      <c r="C70" s="253"/>
      <c r="D70" s="195"/>
      <c r="E70" s="198"/>
      <c r="F70" s="28" t="s">
        <v>10</v>
      </c>
      <c r="G70" s="32"/>
      <c r="H70" s="28"/>
      <c r="I70" s="218"/>
      <c r="J70" s="218"/>
      <c r="K70" s="218"/>
      <c r="L70" s="218"/>
      <c r="M70" s="218"/>
    </row>
    <row r="71" spans="1:13" s="14" customFormat="1" ht="16.5">
      <c r="A71" s="189"/>
      <c r="B71" s="192"/>
      <c r="C71" s="253"/>
      <c r="D71" s="195"/>
      <c r="E71" s="198"/>
      <c r="F71" s="28" t="s">
        <v>9</v>
      </c>
      <c r="G71" s="32"/>
      <c r="H71" s="28"/>
      <c r="I71" s="218"/>
      <c r="J71" s="219"/>
      <c r="K71" s="218"/>
      <c r="L71" s="218"/>
      <c r="M71" s="218"/>
    </row>
    <row r="72" spans="1:13" s="14" customFormat="1" ht="16.5">
      <c r="A72" s="190"/>
      <c r="B72" s="193"/>
      <c r="C72" s="254"/>
      <c r="D72" s="196"/>
      <c r="E72" s="199"/>
      <c r="F72" s="28" t="s">
        <v>8</v>
      </c>
      <c r="G72" s="32"/>
      <c r="H72" s="28"/>
      <c r="I72" s="219"/>
      <c r="J72" s="31"/>
      <c r="K72" s="219"/>
      <c r="L72" s="219"/>
      <c r="M72" s="219"/>
    </row>
    <row r="73" spans="1:13" ht="16.5">
      <c r="A73" s="203" t="s">
        <v>64</v>
      </c>
      <c r="B73" s="206"/>
      <c r="C73" s="184" t="s">
        <v>43</v>
      </c>
      <c r="D73" s="206"/>
      <c r="E73" s="209">
        <v>0.75</v>
      </c>
      <c r="F73" s="13" t="s">
        <v>32</v>
      </c>
      <c r="G73" s="30" t="s">
        <v>30</v>
      </c>
      <c r="H73" s="13"/>
      <c r="I73" s="240"/>
      <c r="J73" s="230">
        <v>18</v>
      </c>
      <c r="K73" s="240"/>
      <c r="L73" s="243"/>
      <c r="M73" s="243"/>
    </row>
    <row r="74" spans="1:13" ht="16.5">
      <c r="A74" s="204"/>
      <c r="B74" s="207"/>
      <c r="C74" s="185"/>
      <c r="D74" s="207"/>
      <c r="E74" s="210"/>
      <c r="F74" s="13" t="s">
        <v>7</v>
      </c>
      <c r="G74" s="30"/>
      <c r="H74" s="13"/>
      <c r="I74" s="241"/>
      <c r="J74" s="231"/>
      <c r="K74" s="241"/>
      <c r="L74" s="244"/>
      <c r="M74" s="244"/>
    </row>
    <row r="75" spans="1:13" ht="16.5">
      <c r="A75" s="204"/>
      <c r="B75" s="207"/>
      <c r="C75" s="185"/>
      <c r="D75" s="207"/>
      <c r="E75" s="210"/>
      <c r="F75" s="13" t="s">
        <v>12</v>
      </c>
      <c r="G75" s="30" t="s">
        <v>163</v>
      </c>
      <c r="H75" s="13"/>
      <c r="I75" s="241"/>
      <c r="J75" s="231"/>
      <c r="K75" s="241"/>
      <c r="L75" s="244"/>
      <c r="M75" s="244"/>
    </row>
    <row r="76" spans="1:13" ht="16.5">
      <c r="A76" s="204"/>
      <c r="B76" s="207"/>
      <c r="C76" s="185"/>
      <c r="D76" s="207"/>
      <c r="E76" s="210"/>
      <c r="F76" s="13" t="s">
        <v>11</v>
      </c>
      <c r="G76" s="30"/>
      <c r="H76" s="13"/>
      <c r="I76" s="241"/>
      <c r="J76" s="231"/>
      <c r="K76" s="241"/>
      <c r="L76" s="244"/>
      <c r="M76" s="244"/>
    </row>
    <row r="77" spans="1:13" ht="16.5">
      <c r="A77" s="204"/>
      <c r="B77" s="207"/>
      <c r="C77" s="185"/>
      <c r="D77" s="207"/>
      <c r="E77" s="210"/>
      <c r="F77" s="13" t="s">
        <v>10</v>
      </c>
      <c r="G77" s="30"/>
      <c r="H77" s="13"/>
      <c r="I77" s="241"/>
      <c r="J77" s="231"/>
      <c r="K77" s="241"/>
      <c r="L77" s="244"/>
      <c r="M77" s="244"/>
    </row>
    <row r="78" spans="1:13" ht="16.5">
      <c r="A78" s="204"/>
      <c r="B78" s="207"/>
      <c r="C78" s="185"/>
      <c r="D78" s="207"/>
      <c r="E78" s="210"/>
      <c r="F78" s="13" t="s">
        <v>9</v>
      </c>
      <c r="G78" s="30"/>
      <c r="H78" s="13"/>
      <c r="I78" s="241"/>
      <c r="J78" s="231"/>
      <c r="K78" s="241"/>
      <c r="L78" s="244"/>
      <c r="M78" s="244"/>
    </row>
    <row r="79" spans="1:13" ht="16.5">
      <c r="A79" s="205"/>
      <c r="B79" s="208"/>
      <c r="C79" s="185"/>
      <c r="D79" s="208"/>
      <c r="E79" s="211"/>
      <c r="F79" s="13" t="s">
        <v>2</v>
      </c>
      <c r="G79" s="30"/>
      <c r="H79" s="13"/>
      <c r="I79" s="242"/>
      <c r="J79" s="232"/>
      <c r="K79" s="242"/>
      <c r="L79" s="245"/>
      <c r="M79" s="245"/>
    </row>
    <row r="80" spans="1:13" s="14" customFormat="1" ht="16.5">
      <c r="A80" s="163" t="s">
        <v>44</v>
      </c>
      <c r="B80" s="167" t="s">
        <v>45</v>
      </c>
      <c r="C80" s="185"/>
      <c r="D80" s="170"/>
      <c r="E80" s="173">
        <v>0.9</v>
      </c>
      <c r="F80" s="3" t="s">
        <v>32</v>
      </c>
      <c r="G80" s="7"/>
      <c r="H80" s="3"/>
      <c r="I80" s="176"/>
      <c r="J80" s="179">
        <v>6</v>
      </c>
      <c r="K80" s="182"/>
      <c r="L80" s="179"/>
      <c r="M80" s="170"/>
    </row>
    <row r="81" spans="1:13" s="14" customFormat="1" ht="16.5">
      <c r="A81" s="164"/>
      <c r="B81" s="168"/>
      <c r="C81" s="185"/>
      <c r="D81" s="171"/>
      <c r="E81" s="174"/>
      <c r="F81" s="3" t="s">
        <v>60</v>
      </c>
      <c r="G81" s="7"/>
      <c r="H81" s="3"/>
      <c r="I81" s="177"/>
      <c r="J81" s="180"/>
      <c r="K81" s="183"/>
      <c r="L81" s="180"/>
      <c r="M81" s="171"/>
    </row>
    <row r="82" spans="1:13" s="14" customFormat="1" ht="16.5">
      <c r="A82" s="165"/>
      <c r="B82" s="168"/>
      <c r="C82" s="185"/>
      <c r="D82" s="171"/>
      <c r="E82" s="174"/>
      <c r="F82" s="3" t="s">
        <v>6</v>
      </c>
      <c r="G82" s="7"/>
      <c r="H82" s="3"/>
      <c r="I82" s="177"/>
      <c r="J82" s="180"/>
      <c r="K82" s="180"/>
      <c r="L82" s="180"/>
      <c r="M82" s="180"/>
    </row>
    <row r="83" spans="1:13" s="14" customFormat="1" ht="16.5">
      <c r="A83" s="165"/>
      <c r="B83" s="168"/>
      <c r="C83" s="185"/>
      <c r="D83" s="171"/>
      <c r="E83" s="174"/>
      <c r="F83" s="3" t="s">
        <v>5</v>
      </c>
      <c r="G83" s="7"/>
      <c r="H83" s="3"/>
      <c r="I83" s="177"/>
      <c r="J83" s="180"/>
      <c r="K83" s="180"/>
      <c r="L83" s="180"/>
      <c r="M83" s="180"/>
    </row>
    <row r="84" spans="1:13" s="14" customFormat="1" ht="16.5">
      <c r="A84" s="165"/>
      <c r="B84" s="168"/>
      <c r="C84" s="185"/>
      <c r="D84" s="171"/>
      <c r="E84" s="174"/>
      <c r="F84" s="3" t="s">
        <v>4</v>
      </c>
      <c r="G84" s="7"/>
      <c r="H84" s="3"/>
      <c r="I84" s="177"/>
      <c r="J84" s="180"/>
      <c r="K84" s="180"/>
      <c r="L84" s="180"/>
      <c r="M84" s="180"/>
    </row>
    <row r="85" spans="1:13" s="14" customFormat="1" ht="16.5">
      <c r="A85" s="165"/>
      <c r="B85" s="168"/>
      <c r="C85" s="185"/>
      <c r="D85" s="171"/>
      <c r="E85" s="174"/>
      <c r="F85" s="3" t="s">
        <v>3</v>
      </c>
      <c r="G85" s="7"/>
      <c r="H85" s="3"/>
      <c r="I85" s="177"/>
      <c r="J85" s="180"/>
      <c r="K85" s="180"/>
      <c r="L85" s="180"/>
      <c r="M85" s="180"/>
    </row>
    <row r="86" spans="1:13" s="14" customFormat="1" ht="16.5">
      <c r="A86" s="166"/>
      <c r="B86" s="169"/>
      <c r="C86" s="185"/>
      <c r="D86" s="172"/>
      <c r="E86" s="175"/>
      <c r="F86" s="3" t="s">
        <v>2</v>
      </c>
      <c r="G86" s="7"/>
      <c r="H86" s="3"/>
      <c r="I86" s="178"/>
      <c r="J86" s="181"/>
      <c r="K86" s="181"/>
      <c r="L86" s="181"/>
      <c r="M86" s="181"/>
    </row>
    <row r="87" spans="1:13" s="14" customFormat="1" ht="16.5">
      <c r="A87" s="187" t="s">
        <v>65</v>
      </c>
      <c r="B87" s="191"/>
      <c r="C87" s="185"/>
      <c r="D87" s="194"/>
      <c r="E87" s="197"/>
      <c r="F87" s="28" t="s">
        <v>32</v>
      </c>
      <c r="G87" s="32"/>
      <c r="H87" s="28"/>
      <c r="I87" s="200"/>
      <c r="J87" s="217">
        <v>10</v>
      </c>
      <c r="K87" s="246"/>
      <c r="L87" s="217"/>
      <c r="M87" s="194"/>
    </row>
    <row r="88" spans="1:13" s="14" customFormat="1" ht="16.5">
      <c r="A88" s="188"/>
      <c r="B88" s="192"/>
      <c r="C88" s="185"/>
      <c r="D88" s="195"/>
      <c r="E88" s="198"/>
      <c r="F88" s="28" t="s">
        <v>60</v>
      </c>
      <c r="G88" s="32"/>
      <c r="H88" s="28"/>
      <c r="I88" s="201"/>
      <c r="J88" s="218"/>
      <c r="K88" s="247"/>
      <c r="L88" s="218"/>
      <c r="M88" s="195"/>
    </row>
    <row r="89" spans="1:13" s="14" customFormat="1" ht="16.5">
      <c r="A89" s="189"/>
      <c r="B89" s="192"/>
      <c r="C89" s="185"/>
      <c r="D89" s="195"/>
      <c r="E89" s="198"/>
      <c r="F89" s="28" t="s">
        <v>6</v>
      </c>
      <c r="G89" s="32"/>
      <c r="H89" s="28"/>
      <c r="I89" s="201"/>
      <c r="J89" s="218"/>
      <c r="K89" s="218"/>
      <c r="L89" s="218"/>
      <c r="M89" s="218"/>
    </row>
    <row r="90" spans="1:13" s="14" customFormat="1" ht="16.5">
      <c r="A90" s="189"/>
      <c r="B90" s="192"/>
      <c r="C90" s="185"/>
      <c r="D90" s="195"/>
      <c r="E90" s="198"/>
      <c r="F90" s="28" t="s">
        <v>5</v>
      </c>
      <c r="G90" s="32"/>
      <c r="H90" s="28"/>
      <c r="I90" s="201"/>
      <c r="J90" s="218"/>
      <c r="K90" s="218"/>
      <c r="L90" s="218"/>
      <c r="M90" s="218"/>
    </row>
    <row r="91" spans="1:13" s="14" customFormat="1" ht="16.5">
      <c r="A91" s="189"/>
      <c r="B91" s="192"/>
      <c r="C91" s="185"/>
      <c r="D91" s="195"/>
      <c r="E91" s="198"/>
      <c r="F91" s="28" t="s">
        <v>4</v>
      </c>
      <c r="G91" s="32"/>
      <c r="H91" s="28"/>
      <c r="I91" s="201"/>
      <c r="J91" s="218"/>
      <c r="K91" s="218"/>
      <c r="L91" s="218"/>
      <c r="M91" s="218"/>
    </row>
    <row r="92" spans="1:13" s="14" customFormat="1" ht="16.5">
      <c r="A92" s="189"/>
      <c r="B92" s="192"/>
      <c r="C92" s="185"/>
      <c r="D92" s="195"/>
      <c r="E92" s="198"/>
      <c r="F92" s="28" t="s">
        <v>3</v>
      </c>
      <c r="G92" s="32"/>
      <c r="H92" s="28"/>
      <c r="I92" s="201"/>
      <c r="J92" s="218"/>
      <c r="K92" s="218"/>
      <c r="L92" s="218"/>
      <c r="M92" s="218"/>
    </row>
    <row r="93" spans="1:13" s="14" customFormat="1" ht="16.5">
      <c r="A93" s="190"/>
      <c r="B93" s="193"/>
      <c r="C93" s="185"/>
      <c r="D93" s="196"/>
      <c r="E93" s="199"/>
      <c r="F93" s="28" t="s">
        <v>2</v>
      </c>
      <c r="G93" s="32"/>
      <c r="H93" s="28"/>
      <c r="I93" s="202"/>
      <c r="J93" s="219"/>
      <c r="K93" s="219"/>
      <c r="L93" s="219"/>
      <c r="M93" s="219"/>
    </row>
    <row r="94" spans="1:13" s="14" customFormat="1" ht="16.5">
      <c r="A94" s="163" t="s">
        <v>66</v>
      </c>
      <c r="B94" s="167"/>
      <c r="C94" s="185"/>
      <c r="D94" s="170">
        <v>0</v>
      </c>
      <c r="E94" s="173">
        <v>0.6</v>
      </c>
      <c r="F94" s="3" t="s">
        <v>32</v>
      </c>
      <c r="G94" s="43"/>
      <c r="H94" s="3"/>
      <c r="I94" s="176"/>
      <c r="J94" s="179">
        <v>8</v>
      </c>
      <c r="K94" s="182"/>
      <c r="L94" s="179"/>
      <c r="M94" s="170"/>
    </row>
    <row r="95" spans="1:13" s="14" customFormat="1" ht="16.5">
      <c r="A95" s="164"/>
      <c r="B95" s="168"/>
      <c r="C95" s="185"/>
      <c r="D95" s="171"/>
      <c r="E95" s="174"/>
      <c r="F95" s="3" t="s">
        <v>60</v>
      </c>
      <c r="G95" s="43"/>
      <c r="H95" s="3"/>
      <c r="I95" s="177"/>
      <c r="J95" s="180"/>
      <c r="K95" s="183"/>
      <c r="L95" s="180"/>
      <c r="M95" s="171"/>
    </row>
    <row r="96" spans="1:13" s="14" customFormat="1" ht="16.5">
      <c r="A96" s="165"/>
      <c r="B96" s="168"/>
      <c r="C96" s="185"/>
      <c r="D96" s="171"/>
      <c r="E96" s="174"/>
      <c r="F96" s="3" t="s">
        <v>6</v>
      </c>
      <c r="G96" s="43" t="s">
        <v>164</v>
      </c>
      <c r="H96" s="3"/>
      <c r="I96" s="177"/>
      <c r="J96" s="180"/>
      <c r="K96" s="180"/>
      <c r="L96" s="180"/>
      <c r="M96" s="180"/>
    </row>
    <row r="97" spans="1:13" s="14" customFormat="1" ht="16.5">
      <c r="A97" s="165"/>
      <c r="B97" s="168"/>
      <c r="C97" s="185"/>
      <c r="D97" s="171"/>
      <c r="E97" s="174"/>
      <c r="F97" s="3" t="s">
        <v>5</v>
      </c>
      <c r="G97" s="43"/>
      <c r="H97" s="3"/>
      <c r="I97" s="177"/>
      <c r="J97" s="180"/>
      <c r="K97" s="180"/>
      <c r="L97" s="180"/>
      <c r="M97" s="180"/>
    </row>
    <row r="98" spans="1:13" s="14" customFormat="1" ht="16.5">
      <c r="A98" s="165"/>
      <c r="B98" s="168"/>
      <c r="C98" s="185"/>
      <c r="D98" s="171"/>
      <c r="E98" s="174"/>
      <c r="F98" s="3" t="s">
        <v>4</v>
      </c>
      <c r="G98" s="43"/>
      <c r="H98" s="3"/>
      <c r="I98" s="177"/>
      <c r="J98" s="180"/>
      <c r="K98" s="180"/>
      <c r="L98" s="180"/>
      <c r="M98" s="180"/>
    </row>
    <row r="99" spans="1:13" s="14" customFormat="1" ht="16.5">
      <c r="A99" s="165"/>
      <c r="B99" s="168"/>
      <c r="C99" s="185"/>
      <c r="D99" s="171"/>
      <c r="E99" s="174"/>
      <c r="F99" s="3" t="s">
        <v>3</v>
      </c>
      <c r="G99" s="43"/>
      <c r="H99" s="3"/>
      <c r="I99" s="177"/>
      <c r="J99" s="180"/>
      <c r="K99" s="180"/>
      <c r="L99" s="180"/>
      <c r="M99" s="180"/>
    </row>
    <row r="100" spans="1:13" s="14" customFormat="1" ht="16.5">
      <c r="A100" s="166"/>
      <c r="B100" s="169"/>
      <c r="C100" s="186"/>
      <c r="D100" s="172"/>
      <c r="E100" s="175"/>
      <c r="F100" s="3" t="s">
        <v>2</v>
      </c>
      <c r="G100" s="43"/>
      <c r="H100" s="3"/>
      <c r="I100" s="178"/>
      <c r="J100" s="181"/>
      <c r="K100" s="181"/>
      <c r="L100" s="181"/>
      <c r="M100" s="181"/>
    </row>
    <row r="101" spans="1:13" s="4" customFormat="1" ht="16.5">
      <c r="A101" s="226" t="s">
        <v>46</v>
      </c>
      <c r="B101" s="233"/>
      <c r="C101" s="252" t="s">
        <v>48</v>
      </c>
      <c r="D101" s="206">
        <v>1</v>
      </c>
      <c r="E101" s="209">
        <v>1</v>
      </c>
      <c r="F101" s="13" t="s">
        <v>32</v>
      </c>
      <c r="G101" s="30"/>
      <c r="H101" s="13"/>
      <c r="I101" s="240"/>
      <c r="J101" s="230">
        <v>11</v>
      </c>
      <c r="K101" s="230"/>
      <c r="L101" s="206"/>
      <c r="M101" s="206"/>
    </row>
    <row r="102" spans="1:13" s="4" customFormat="1" ht="16.5">
      <c r="A102" s="227"/>
      <c r="B102" s="234"/>
      <c r="C102" s="253"/>
      <c r="D102" s="207"/>
      <c r="E102" s="210"/>
      <c r="F102" s="13" t="s">
        <v>7</v>
      </c>
      <c r="G102" s="30"/>
      <c r="H102" s="13"/>
      <c r="I102" s="241"/>
      <c r="J102" s="231"/>
      <c r="K102" s="231"/>
      <c r="L102" s="231"/>
      <c r="M102" s="231"/>
    </row>
    <row r="103" spans="1:13" s="4" customFormat="1" ht="16.5">
      <c r="A103" s="227"/>
      <c r="B103" s="234"/>
      <c r="C103" s="253"/>
      <c r="D103" s="207"/>
      <c r="E103" s="210"/>
      <c r="F103" s="13" t="s">
        <v>6</v>
      </c>
      <c r="G103" s="30"/>
      <c r="H103" s="13"/>
      <c r="I103" s="241"/>
      <c r="J103" s="231"/>
      <c r="K103" s="231"/>
      <c r="L103" s="231"/>
      <c r="M103" s="231"/>
    </row>
    <row r="104" spans="1:13" s="4" customFormat="1" ht="16.5">
      <c r="A104" s="227"/>
      <c r="B104" s="234"/>
      <c r="C104" s="253"/>
      <c r="D104" s="207"/>
      <c r="E104" s="210"/>
      <c r="F104" s="13" t="s">
        <v>5</v>
      </c>
      <c r="G104" s="30"/>
      <c r="H104" s="13"/>
      <c r="I104" s="241"/>
      <c r="J104" s="231"/>
      <c r="K104" s="231"/>
      <c r="L104" s="231"/>
      <c r="M104" s="231"/>
    </row>
    <row r="105" spans="1:13" s="4" customFormat="1" ht="16.5">
      <c r="A105" s="227"/>
      <c r="B105" s="234"/>
      <c r="C105" s="253"/>
      <c r="D105" s="207"/>
      <c r="E105" s="210"/>
      <c r="F105" s="13" t="s">
        <v>4</v>
      </c>
      <c r="G105" s="30"/>
      <c r="H105" s="13"/>
      <c r="I105" s="241"/>
      <c r="J105" s="231"/>
      <c r="K105" s="231"/>
      <c r="L105" s="231"/>
      <c r="M105" s="231"/>
    </row>
    <row r="106" spans="1:13" s="4" customFormat="1" ht="16.5">
      <c r="A106" s="227"/>
      <c r="B106" s="234"/>
      <c r="C106" s="253"/>
      <c r="D106" s="207"/>
      <c r="E106" s="210"/>
      <c r="F106" s="13" t="s">
        <v>3</v>
      </c>
      <c r="G106" s="30"/>
      <c r="H106" s="13"/>
      <c r="I106" s="241"/>
      <c r="J106" s="231"/>
      <c r="K106" s="231"/>
      <c r="L106" s="231"/>
      <c r="M106" s="231"/>
    </row>
    <row r="107" spans="1:13" s="4" customFormat="1" ht="16.5">
      <c r="A107" s="228"/>
      <c r="B107" s="235"/>
      <c r="C107" s="253"/>
      <c r="D107" s="208"/>
      <c r="E107" s="211"/>
      <c r="F107" s="13" t="s">
        <v>2</v>
      </c>
      <c r="G107" s="30"/>
      <c r="H107" s="13"/>
      <c r="I107" s="242"/>
      <c r="J107" s="232"/>
      <c r="K107" s="232"/>
      <c r="L107" s="232"/>
      <c r="M107" s="232"/>
    </row>
    <row r="108" spans="1:13" ht="16.5">
      <c r="A108" s="237" t="s">
        <v>47</v>
      </c>
      <c r="B108" s="167"/>
      <c r="C108" s="253"/>
      <c r="D108" s="170">
        <v>3</v>
      </c>
      <c r="E108" s="173">
        <v>1</v>
      </c>
      <c r="F108" s="3" t="s">
        <v>32</v>
      </c>
      <c r="G108" s="7"/>
      <c r="H108" s="3"/>
      <c r="I108" s="176"/>
      <c r="J108" s="179">
        <v>53</v>
      </c>
      <c r="K108" s="179"/>
      <c r="L108" s="170"/>
      <c r="M108" s="170"/>
    </row>
    <row r="109" spans="1:13" ht="16.5">
      <c r="A109" s="238"/>
      <c r="B109" s="168"/>
      <c r="C109" s="253"/>
      <c r="D109" s="171"/>
      <c r="E109" s="174"/>
      <c r="F109" s="3" t="s">
        <v>7</v>
      </c>
      <c r="G109" s="7"/>
      <c r="H109" s="3"/>
      <c r="I109" s="177"/>
      <c r="J109" s="180"/>
      <c r="K109" s="180"/>
      <c r="L109" s="180"/>
      <c r="M109" s="180"/>
    </row>
    <row r="110" spans="1:13" ht="16.5">
      <c r="A110" s="238"/>
      <c r="B110" s="168"/>
      <c r="C110" s="253"/>
      <c r="D110" s="171"/>
      <c r="E110" s="174"/>
      <c r="F110" s="3" t="s">
        <v>6</v>
      </c>
      <c r="G110" s="7"/>
      <c r="H110" s="3"/>
      <c r="I110" s="177"/>
      <c r="J110" s="180"/>
      <c r="K110" s="180"/>
      <c r="L110" s="180"/>
      <c r="M110" s="180"/>
    </row>
    <row r="111" spans="1:13" ht="16.5">
      <c r="A111" s="238"/>
      <c r="B111" s="168"/>
      <c r="C111" s="253"/>
      <c r="D111" s="171"/>
      <c r="E111" s="174"/>
      <c r="F111" s="3" t="s">
        <v>5</v>
      </c>
      <c r="G111" s="7"/>
      <c r="H111" s="3"/>
      <c r="I111" s="177"/>
      <c r="J111" s="180"/>
      <c r="K111" s="180"/>
      <c r="L111" s="180"/>
      <c r="M111" s="180"/>
    </row>
    <row r="112" spans="1:13" ht="16.5">
      <c r="A112" s="238"/>
      <c r="B112" s="168"/>
      <c r="C112" s="253"/>
      <c r="D112" s="171"/>
      <c r="E112" s="174"/>
      <c r="F112" s="3" t="s">
        <v>4</v>
      </c>
      <c r="G112" s="7"/>
      <c r="H112" s="3"/>
      <c r="I112" s="177"/>
      <c r="J112" s="180"/>
      <c r="K112" s="180"/>
      <c r="L112" s="180"/>
      <c r="M112" s="180"/>
    </row>
    <row r="113" spans="1:13" ht="16.5">
      <c r="A113" s="238"/>
      <c r="B113" s="168"/>
      <c r="C113" s="253"/>
      <c r="D113" s="171"/>
      <c r="E113" s="174"/>
      <c r="F113" s="3" t="s">
        <v>3</v>
      </c>
      <c r="G113" s="7"/>
      <c r="H113" s="3"/>
      <c r="I113" s="177"/>
      <c r="J113" s="180"/>
      <c r="K113" s="180"/>
      <c r="L113" s="180"/>
      <c r="M113" s="180"/>
    </row>
    <row r="114" spans="1:13" ht="16.5">
      <c r="A114" s="239"/>
      <c r="B114" s="169"/>
      <c r="C114" s="253"/>
      <c r="D114" s="172"/>
      <c r="E114" s="175"/>
      <c r="F114" s="3" t="s">
        <v>8</v>
      </c>
      <c r="G114" s="7"/>
      <c r="H114" s="3"/>
      <c r="I114" s="178"/>
      <c r="J114" s="181"/>
      <c r="K114" s="181"/>
      <c r="L114" s="181"/>
      <c r="M114" s="181"/>
    </row>
    <row r="115" spans="1:13" ht="16.5">
      <c r="A115" s="187" t="s">
        <v>130</v>
      </c>
      <c r="B115" s="191"/>
      <c r="C115" s="253"/>
      <c r="D115" s="194">
        <v>3</v>
      </c>
      <c r="E115" s="197">
        <v>0.2</v>
      </c>
      <c r="F115" s="28" t="s">
        <v>32</v>
      </c>
      <c r="G115" s="109"/>
      <c r="H115" s="28"/>
      <c r="I115" s="200"/>
      <c r="J115" s="217">
        <v>7</v>
      </c>
      <c r="K115" s="246"/>
      <c r="L115" s="217"/>
      <c r="M115" s="194"/>
    </row>
    <row r="116" spans="1:13" ht="16.5">
      <c r="A116" s="188"/>
      <c r="B116" s="192"/>
      <c r="C116" s="253"/>
      <c r="D116" s="195"/>
      <c r="E116" s="198"/>
      <c r="F116" s="28" t="s">
        <v>60</v>
      </c>
      <c r="G116" s="109"/>
      <c r="H116" s="28"/>
      <c r="I116" s="201"/>
      <c r="J116" s="218"/>
      <c r="K116" s="247"/>
      <c r="L116" s="218"/>
      <c r="M116" s="195"/>
    </row>
    <row r="117" spans="1:13" ht="16.5">
      <c r="A117" s="189"/>
      <c r="B117" s="192"/>
      <c r="C117" s="253"/>
      <c r="D117" s="195"/>
      <c r="E117" s="198"/>
      <c r="F117" s="28" t="s">
        <v>6</v>
      </c>
      <c r="G117" s="109" t="s">
        <v>165</v>
      </c>
      <c r="H117" s="28"/>
      <c r="I117" s="201"/>
      <c r="J117" s="218"/>
      <c r="K117" s="218"/>
      <c r="L117" s="218"/>
      <c r="M117" s="218"/>
    </row>
    <row r="118" spans="1:13" ht="16.5">
      <c r="A118" s="189"/>
      <c r="B118" s="192"/>
      <c r="C118" s="253"/>
      <c r="D118" s="195"/>
      <c r="E118" s="198"/>
      <c r="F118" s="28" t="s">
        <v>5</v>
      </c>
      <c r="G118" s="109"/>
      <c r="H118" s="28"/>
      <c r="I118" s="201"/>
      <c r="J118" s="218"/>
      <c r="K118" s="218"/>
      <c r="L118" s="218"/>
      <c r="M118" s="218"/>
    </row>
    <row r="119" spans="1:13" ht="16.5">
      <c r="A119" s="189"/>
      <c r="B119" s="192"/>
      <c r="C119" s="253"/>
      <c r="D119" s="195"/>
      <c r="E119" s="198"/>
      <c r="F119" s="28" t="s">
        <v>4</v>
      </c>
      <c r="G119" s="109"/>
      <c r="H119" s="28"/>
      <c r="I119" s="201"/>
      <c r="J119" s="218"/>
      <c r="K119" s="218"/>
      <c r="L119" s="218"/>
      <c r="M119" s="218"/>
    </row>
    <row r="120" spans="1:13" ht="16.5">
      <c r="A120" s="189"/>
      <c r="B120" s="192"/>
      <c r="C120" s="253"/>
      <c r="D120" s="195"/>
      <c r="E120" s="198"/>
      <c r="F120" s="28" t="s">
        <v>3</v>
      </c>
      <c r="G120" s="109"/>
      <c r="H120" s="28"/>
      <c r="I120" s="201"/>
      <c r="J120" s="218"/>
      <c r="K120" s="218"/>
      <c r="L120" s="218"/>
      <c r="M120" s="218"/>
    </row>
    <row r="121" spans="1:13" ht="16.5">
      <c r="A121" s="190"/>
      <c r="B121" s="193"/>
      <c r="C121" s="253"/>
      <c r="D121" s="196"/>
      <c r="E121" s="199"/>
      <c r="F121" s="28" t="s">
        <v>2</v>
      </c>
      <c r="G121" s="109"/>
      <c r="H121" s="28"/>
      <c r="I121" s="202"/>
      <c r="J121" s="219"/>
      <c r="K121" s="219"/>
      <c r="L121" s="219"/>
      <c r="M121" s="219"/>
    </row>
  </sheetData>
  <mergeCells count="158">
    <mergeCell ref="M115:M121"/>
    <mergeCell ref="C101:C121"/>
    <mergeCell ref="A59:A65"/>
    <mergeCell ref="B59:B65"/>
    <mergeCell ref="D59:D65"/>
    <mergeCell ref="E59:E65"/>
    <mergeCell ref="I59:I65"/>
    <mergeCell ref="K59:K65"/>
    <mergeCell ref="L59:L65"/>
    <mergeCell ref="M59:M65"/>
    <mergeCell ref="J59:J64"/>
    <mergeCell ref="A108:A114"/>
    <mergeCell ref="B108:B114"/>
    <mergeCell ref="J108:J114"/>
    <mergeCell ref="K108:K114"/>
    <mergeCell ref="L108:L114"/>
    <mergeCell ref="E108:E114"/>
    <mergeCell ref="D108:D114"/>
    <mergeCell ref="A101:A107"/>
    <mergeCell ref="B101:B107"/>
    <mergeCell ref="J101:J107"/>
    <mergeCell ref="K101:K107"/>
    <mergeCell ref="E101:E107"/>
    <mergeCell ref="D101:D107"/>
    <mergeCell ref="A115:A121"/>
    <mergeCell ref="B115:B121"/>
    <mergeCell ref="D115:D121"/>
    <mergeCell ref="E115:E121"/>
    <mergeCell ref="I115:I121"/>
    <mergeCell ref="J115:J121"/>
    <mergeCell ref="K115:K121"/>
    <mergeCell ref="L115:L121"/>
    <mergeCell ref="E17:E23"/>
    <mergeCell ref="E24:E30"/>
    <mergeCell ref="J24:J29"/>
    <mergeCell ref="L24:L30"/>
    <mergeCell ref="K24:K30"/>
    <mergeCell ref="D80:D86"/>
    <mergeCell ref="D73:D79"/>
    <mergeCell ref="D66:D72"/>
    <mergeCell ref="D52:D58"/>
    <mergeCell ref="J45:J50"/>
    <mergeCell ref="J52:J57"/>
    <mergeCell ref="J66:J71"/>
    <mergeCell ref="J31:J36"/>
    <mergeCell ref="K31:K37"/>
    <mergeCell ref="L31:L37"/>
    <mergeCell ref="E31:E37"/>
    <mergeCell ref="I31:I37"/>
    <mergeCell ref="M10:M16"/>
    <mergeCell ref="M26:M30"/>
    <mergeCell ref="M17:M23"/>
    <mergeCell ref="A1:L1"/>
    <mergeCell ref="A10:A16"/>
    <mergeCell ref="B10:B16"/>
    <mergeCell ref="I10:I16"/>
    <mergeCell ref="K10:K16"/>
    <mergeCell ref="L10:L16"/>
    <mergeCell ref="D10:D16"/>
    <mergeCell ref="A17:A23"/>
    <mergeCell ref="B17:B23"/>
    <mergeCell ref="J17:J22"/>
    <mergeCell ref="K17:K23"/>
    <mergeCell ref="L17:L23"/>
    <mergeCell ref="I17:I23"/>
    <mergeCell ref="D17:D23"/>
    <mergeCell ref="D24:D30"/>
    <mergeCell ref="E10:E16"/>
    <mergeCell ref="M33:M37"/>
    <mergeCell ref="J3:J8"/>
    <mergeCell ref="J10:J15"/>
    <mergeCell ref="M46:M51"/>
    <mergeCell ref="M54:M58"/>
    <mergeCell ref="L45:L51"/>
    <mergeCell ref="L52:L58"/>
    <mergeCell ref="K52:K58"/>
    <mergeCell ref="K45:K51"/>
    <mergeCell ref="A45:A51"/>
    <mergeCell ref="B45:B51"/>
    <mergeCell ref="I45:I51"/>
    <mergeCell ref="E45:E51"/>
    <mergeCell ref="D45:D51"/>
    <mergeCell ref="C45:C72"/>
    <mergeCell ref="M68:M72"/>
    <mergeCell ref="A66:A72"/>
    <mergeCell ref="B66:B72"/>
    <mergeCell ref="A52:A58"/>
    <mergeCell ref="B52:B58"/>
    <mergeCell ref="I52:I58"/>
    <mergeCell ref="I66:I72"/>
    <mergeCell ref="E52:E58"/>
    <mergeCell ref="E66:E72"/>
    <mergeCell ref="L66:L72"/>
    <mergeCell ref="K66:K72"/>
    <mergeCell ref="M108:M114"/>
    <mergeCell ref="I73:I79"/>
    <mergeCell ref="I80:I86"/>
    <mergeCell ref="I101:I107"/>
    <mergeCell ref="I108:I114"/>
    <mergeCell ref="L80:L86"/>
    <mergeCell ref="L101:L107"/>
    <mergeCell ref="L73:L79"/>
    <mergeCell ref="M73:M79"/>
    <mergeCell ref="M80:M86"/>
    <mergeCell ref="M101:M107"/>
    <mergeCell ref="K73:K79"/>
    <mergeCell ref="K80:K86"/>
    <mergeCell ref="J87:J93"/>
    <mergeCell ref="K87:K93"/>
    <mergeCell ref="L87:L93"/>
    <mergeCell ref="J73:J79"/>
    <mergeCell ref="J80:J86"/>
    <mergeCell ref="M87:M93"/>
    <mergeCell ref="M40:M44"/>
    <mergeCell ref="A38:A44"/>
    <mergeCell ref="B38:B44"/>
    <mergeCell ref="D38:D44"/>
    <mergeCell ref="E38:E44"/>
    <mergeCell ref="I38:I44"/>
    <mergeCell ref="J38:J43"/>
    <mergeCell ref="K38:K44"/>
    <mergeCell ref="L38:L44"/>
    <mergeCell ref="C3:C44"/>
    <mergeCell ref="K3:K9"/>
    <mergeCell ref="L3:L9"/>
    <mergeCell ref="M3:M9"/>
    <mergeCell ref="A3:A9"/>
    <mergeCell ref="B3:B9"/>
    <mergeCell ref="D3:D9"/>
    <mergeCell ref="E3:E9"/>
    <mergeCell ref="I3:I9"/>
    <mergeCell ref="I24:I30"/>
    <mergeCell ref="B24:B30"/>
    <mergeCell ref="A24:A30"/>
    <mergeCell ref="A31:A37"/>
    <mergeCell ref="B31:B37"/>
    <mergeCell ref="D31:D37"/>
    <mergeCell ref="A94:A100"/>
    <mergeCell ref="B94:B100"/>
    <mergeCell ref="D94:D100"/>
    <mergeCell ref="E94:E100"/>
    <mergeCell ref="I94:I100"/>
    <mergeCell ref="J94:J100"/>
    <mergeCell ref="K94:K100"/>
    <mergeCell ref="L94:L100"/>
    <mergeCell ref="M94:M100"/>
    <mergeCell ref="C73:C100"/>
    <mergeCell ref="A87:A93"/>
    <mergeCell ref="B87:B93"/>
    <mergeCell ref="D87:D93"/>
    <mergeCell ref="E87:E93"/>
    <mergeCell ref="I87:I93"/>
    <mergeCell ref="A73:A79"/>
    <mergeCell ref="B73:B79"/>
    <mergeCell ref="A80:A86"/>
    <mergeCell ref="B80:B86"/>
    <mergeCell ref="E73:E79"/>
    <mergeCell ref="E80:E86"/>
  </mergeCells>
  <phoneticPr fontId="13" type="noConversion"/>
  <conditionalFormatting sqref="H10:H30 H45:H86 H101:H114">
    <cfRule type="dataBar" priority="11">
      <dataBar>
        <cfvo type="num" val="0"/>
        <cfvo type="num" val="100"/>
        <color rgb="FF00B0F0"/>
      </dataBar>
      <extLst>
        <ext xmlns:x14="http://schemas.microsoft.com/office/spreadsheetml/2009/9/main" uri="{B025F937-C7B1-47D3-B67F-A62EFF666E3E}">
          <x14:id>{9A905A51-75C4-4A35-BF03-180EF856BA06}</x14:id>
        </ext>
      </extLst>
    </cfRule>
  </conditionalFormatting>
  <conditionalFormatting sqref="H3:H9">
    <cfRule type="dataBar" priority="10">
      <dataBar>
        <cfvo type="num" val="0"/>
        <cfvo type="num" val="100"/>
        <color rgb="FF00B0F0"/>
      </dataBar>
      <extLst>
        <ext xmlns:x14="http://schemas.microsoft.com/office/spreadsheetml/2009/9/main" uri="{B025F937-C7B1-47D3-B67F-A62EFF666E3E}">
          <x14:id>{47DB4613-C416-4056-9389-4891C7FB9A00}</x14:id>
        </ext>
      </extLst>
    </cfRule>
  </conditionalFormatting>
  <conditionalFormatting sqref="H31:H37">
    <cfRule type="dataBar" priority="9">
      <dataBar>
        <cfvo type="num" val="0"/>
        <cfvo type="num" val="100"/>
        <color rgb="FF00B0F0"/>
      </dataBar>
      <extLst>
        <ext xmlns:x14="http://schemas.microsoft.com/office/spreadsheetml/2009/9/main" uri="{B025F937-C7B1-47D3-B67F-A62EFF666E3E}">
          <x14:id>{8F4EDAA2-4331-436D-94EC-CA3E8E8166BB}</x14:id>
        </ext>
      </extLst>
    </cfRule>
  </conditionalFormatting>
  <conditionalFormatting sqref="H38:H44">
    <cfRule type="dataBar" priority="8">
      <dataBar>
        <cfvo type="num" val="0"/>
        <cfvo type="num" val="100"/>
        <color rgb="FF00B0F0"/>
      </dataBar>
      <extLst>
        <ext xmlns:x14="http://schemas.microsoft.com/office/spreadsheetml/2009/9/main" uri="{B025F937-C7B1-47D3-B67F-A62EFF666E3E}">
          <x14:id>{1FD67A5B-159C-4831-A639-32F5AA428483}</x14:id>
        </ext>
      </extLst>
    </cfRule>
  </conditionalFormatting>
  <conditionalFormatting sqref="H87:H93">
    <cfRule type="dataBar" priority="7">
      <dataBar>
        <cfvo type="num" val="0"/>
        <cfvo type="num" val="100"/>
        <color rgb="FF00B0F0"/>
      </dataBar>
      <extLst>
        <ext xmlns:x14="http://schemas.microsoft.com/office/spreadsheetml/2009/9/main" uri="{B025F937-C7B1-47D3-B67F-A62EFF666E3E}">
          <x14:id>{7092D8F3-65BC-43AE-9C67-86AD30A0EF24}</x14:id>
        </ext>
      </extLst>
    </cfRule>
  </conditionalFormatting>
  <conditionalFormatting sqref="H94:H100">
    <cfRule type="dataBar" priority="6">
      <dataBar>
        <cfvo type="num" val="0"/>
        <cfvo type="num" val="100"/>
        <color rgb="FF00B0F0"/>
      </dataBar>
      <extLst>
        <ext xmlns:x14="http://schemas.microsoft.com/office/spreadsheetml/2009/9/main" uri="{B025F937-C7B1-47D3-B67F-A62EFF666E3E}">
          <x14:id>{BCDFA7EA-50F7-4B56-968E-0A578EBE44BC}</x14:id>
        </ext>
      </extLst>
    </cfRule>
  </conditionalFormatting>
  <conditionalFormatting sqref="H115:H121">
    <cfRule type="dataBar" priority="3">
      <dataBar>
        <cfvo type="num" val="0"/>
        <cfvo type="num" val="100"/>
        <color rgb="FF00B0F0"/>
      </dataBar>
      <extLst>
        <ext xmlns:x14="http://schemas.microsoft.com/office/spreadsheetml/2009/9/main" uri="{B025F937-C7B1-47D3-B67F-A62EFF666E3E}">
          <x14:id>{D97CF0D9-9EEE-495E-AF70-707009D01263}</x14:id>
        </ext>
      </extLst>
    </cfRule>
  </conditionalFormatting>
  <conditionalFormatting sqref="E3:E121">
    <cfRule type="dataBar" priority="1">
      <dataBar>
        <cfvo type="percent" val="0"/>
        <cfvo type="percent" val="100"/>
        <color rgb="FF00B0F0"/>
      </dataBar>
      <extLst>
        <ext xmlns:x14="http://schemas.microsoft.com/office/spreadsheetml/2009/9/main" uri="{B025F937-C7B1-47D3-B67F-A62EFF666E3E}">
          <x14:id>{9C7694B2-E9BB-4393-BA63-50C9FA585428}</x14:id>
        </ext>
      </extLst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刷新项目人员">
                <anchor moveWithCells="1" sizeWithCells="1">
                  <from>
                    <xdr:col>6</xdr:col>
                    <xdr:colOff>571500</xdr:colOff>
                    <xdr:row>1</xdr:row>
                    <xdr:rowOff>38100</xdr:rowOff>
                  </from>
                  <to>
                    <xdr:col>6</xdr:col>
                    <xdr:colOff>1295400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清理人员">
                <anchor moveWithCells="1" sizeWithCells="1">
                  <from>
                    <xdr:col>6</xdr:col>
                    <xdr:colOff>1371600</xdr:colOff>
                    <xdr:row>1</xdr:row>
                    <xdr:rowOff>38100</xdr:rowOff>
                  </from>
                  <to>
                    <xdr:col>6</xdr:col>
                    <xdr:colOff>1733550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905A51-75C4-4A35-BF03-180EF856BA06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H10:H30 H45:H86 H101:H114</xm:sqref>
        </x14:conditionalFormatting>
        <x14:conditionalFormatting xmlns:xm="http://schemas.microsoft.com/office/excel/2006/main">
          <x14:cfRule type="dataBar" id="{47DB4613-C416-4056-9389-4891C7FB9A00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H3:H9</xm:sqref>
        </x14:conditionalFormatting>
        <x14:conditionalFormatting xmlns:xm="http://schemas.microsoft.com/office/excel/2006/main">
          <x14:cfRule type="dataBar" id="{8F4EDAA2-4331-436D-94EC-CA3E8E8166BB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H31:H37</xm:sqref>
        </x14:conditionalFormatting>
        <x14:conditionalFormatting xmlns:xm="http://schemas.microsoft.com/office/excel/2006/main">
          <x14:cfRule type="dataBar" id="{1FD67A5B-159C-4831-A639-32F5AA428483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H38:H44</xm:sqref>
        </x14:conditionalFormatting>
        <x14:conditionalFormatting xmlns:xm="http://schemas.microsoft.com/office/excel/2006/main">
          <x14:cfRule type="dataBar" id="{7092D8F3-65BC-43AE-9C67-86AD30A0EF24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H87:H93</xm:sqref>
        </x14:conditionalFormatting>
        <x14:conditionalFormatting xmlns:xm="http://schemas.microsoft.com/office/excel/2006/main">
          <x14:cfRule type="dataBar" id="{BCDFA7EA-50F7-4B56-968E-0A578EBE44B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H94:H100</xm:sqref>
        </x14:conditionalFormatting>
        <x14:conditionalFormatting xmlns:xm="http://schemas.microsoft.com/office/excel/2006/main">
          <x14:cfRule type="dataBar" id="{D97CF0D9-9EEE-495E-AF70-707009D01263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H115:H121</xm:sqref>
        </x14:conditionalFormatting>
        <x14:conditionalFormatting xmlns:xm="http://schemas.microsoft.com/office/excel/2006/main">
          <x14:cfRule type="dataBar" id="{9C7694B2-E9BB-4393-BA63-50C9FA585428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E3:E121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G94"/>
  <sheetViews>
    <sheetView tabSelected="1" topLeftCell="A13" workbookViewId="0">
      <pane xSplit="1" topLeftCell="B1" activePane="topRight" state="frozen"/>
      <selection pane="topRight" activeCell="J26" sqref="J26"/>
    </sheetView>
  </sheetViews>
  <sheetFormatPr defaultRowHeight="13.5"/>
  <cols>
    <col min="1" max="1" width="13.125" style="58" bestFit="1" customWidth="1"/>
    <col min="2" max="2" width="9.625" style="58" bestFit="1" customWidth="1"/>
    <col min="3" max="5" width="11.375" style="58" bestFit="1" customWidth="1"/>
    <col min="6" max="6" width="9.625" style="89" bestFit="1" customWidth="1"/>
    <col min="7" max="8" width="10" style="58" bestFit="1" customWidth="1"/>
    <col min="9" max="9" width="9.625" style="89" customWidth="1"/>
    <col min="10" max="10" width="10" style="58" bestFit="1" customWidth="1"/>
    <col min="11" max="11" width="9.625" style="58" customWidth="1"/>
    <col min="12" max="12" width="9.625" style="89" customWidth="1"/>
    <col min="13" max="14" width="10" style="58" bestFit="1" customWidth="1"/>
    <col min="15" max="15" width="10" style="89" customWidth="1"/>
    <col min="16" max="16" width="10" style="58" bestFit="1" customWidth="1"/>
    <col min="17" max="17" width="9.625" style="58" customWidth="1"/>
    <col min="18" max="18" width="9.625" style="89" customWidth="1"/>
    <col min="19" max="19" width="9.625" style="58" customWidth="1"/>
    <col min="20" max="20" width="9.625" style="58" bestFit="1" customWidth="1"/>
    <col min="21" max="21" width="9.625" style="89" customWidth="1"/>
    <col min="22" max="23" width="9.625" style="58" customWidth="1"/>
    <col min="24" max="24" width="9.625" style="89" customWidth="1"/>
    <col min="25" max="26" width="9.625" style="58" customWidth="1"/>
    <col min="27" max="27" width="9.625" style="89" customWidth="1"/>
    <col min="28" max="29" width="9.625" style="58" customWidth="1"/>
    <col min="30" max="31" width="11.875" style="58" bestFit="1" customWidth="1"/>
    <col min="32" max="32" width="9.75" style="58" customWidth="1"/>
    <col min="33" max="34" width="9" style="58" customWidth="1"/>
    <col min="35" max="16384" width="9" style="58"/>
  </cols>
  <sheetData>
    <row r="1" spans="1:33" ht="24.95" customHeight="1">
      <c r="A1" s="95">
        <f ca="1">TODAY()</f>
        <v>41855</v>
      </c>
      <c r="B1" s="270" t="s">
        <v>89</v>
      </c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93"/>
      <c r="AE1" s="93"/>
      <c r="AF1" s="94"/>
      <c r="AG1" s="82" t="s">
        <v>108</v>
      </c>
    </row>
    <row r="2" spans="1:33" ht="24.95" customHeight="1">
      <c r="A2" s="57" t="s">
        <v>0</v>
      </c>
      <c r="B2" s="57" t="s">
        <v>87</v>
      </c>
      <c r="C2" s="57" t="s">
        <v>88</v>
      </c>
      <c r="D2" s="142" t="s">
        <v>90</v>
      </c>
      <c r="E2" s="142" t="s">
        <v>91</v>
      </c>
      <c r="F2" s="60" t="s">
        <v>92</v>
      </c>
      <c r="G2" s="61" t="s">
        <v>93</v>
      </c>
      <c r="H2" s="61" t="s">
        <v>94</v>
      </c>
      <c r="I2" s="60" t="s">
        <v>95</v>
      </c>
      <c r="J2" s="61" t="s">
        <v>93</v>
      </c>
      <c r="K2" s="61" t="s">
        <v>94</v>
      </c>
      <c r="L2" s="60" t="s">
        <v>96</v>
      </c>
      <c r="M2" s="61" t="s">
        <v>93</v>
      </c>
      <c r="N2" s="61" t="s">
        <v>94</v>
      </c>
      <c r="O2" s="60" t="s">
        <v>97</v>
      </c>
      <c r="P2" s="61" t="s">
        <v>93</v>
      </c>
      <c r="Q2" s="61" t="s">
        <v>94</v>
      </c>
      <c r="R2" s="60" t="s">
        <v>98</v>
      </c>
      <c r="S2" s="61" t="s">
        <v>93</v>
      </c>
      <c r="T2" s="61" t="s">
        <v>94</v>
      </c>
      <c r="U2" s="60" t="s">
        <v>99</v>
      </c>
      <c r="V2" s="61" t="s">
        <v>93</v>
      </c>
      <c r="W2" s="61" t="s">
        <v>94</v>
      </c>
      <c r="X2" s="60" t="s">
        <v>100</v>
      </c>
      <c r="Y2" s="61" t="s">
        <v>93</v>
      </c>
      <c r="Z2" s="61" t="s">
        <v>94</v>
      </c>
      <c r="AA2" s="60" t="s">
        <v>101</v>
      </c>
      <c r="AB2" s="61" t="s">
        <v>93</v>
      </c>
      <c r="AC2" s="61" t="s">
        <v>94</v>
      </c>
      <c r="AD2" s="62" t="s">
        <v>102</v>
      </c>
      <c r="AE2" s="62" t="s">
        <v>103</v>
      </c>
      <c r="AF2" s="62" t="s">
        <v>104</v>
      </c>
      <c r="AG2" s="63" t="s">
        <v>120</v>
      </c>
    </row>
    <row r="3" spans="1:33" ht="16.5" customHeight="1">
      <c r="A3" s="138"/>
      <c r="B3" s="139"/>
      <c r="C3" s="139"/>
      <c r="D3" s="140">
        <v>41821</v>
      </c>
      <c r="E3" s="140">
        <v>41912</v>
      </c>
      <c r="F3" s="141"/>
      <c r="G3" s="140"/>
      <c r="H3" s="140"/>
      <c r="I3" s="141"/>
      <c r="J3" s="140"/>
      <c r="K3" s="140"/>
      <c r="L3" s="141"/>
      <c r="M3" s="140"/>
      <c r="N3" s="140"/>
      <c r="O3" s="141"/>
      <c r="P3" s="140"/>
      <c r="Q3" s="140"/>
      <c r="R3" s="141"/>
      <c r="S3" s="140"/>
      <c r="T3" s="140"/>
      <c r="U3" s="141"/>
      <c r="V3" s="140"/>
      <c r="W3" s="140"/>
      <c r="X3" s="141"/>
      <c r="Y3" s="140"/>
      <c r="Z3" s="140"/>
      <c r="AA3" s="141"/>
      <c r="AB3" s="140"/>
      <c r="AC3" s="140"/>
      <c r="AD3" s="68">
        <f>IF(G3&lt;&gt;0,MIN(H3,E3)-MAX(D3,G3),0)+IF(J3&lt;&gt;0,MIN(K3,E3)-MAX(D3,J3),0)+IF(M3&lt;&gt;0,MIN(N3,E3)-MAX(D3,M3),0)+IF(P3&lt;&gt;0,MIN(Q3,E3)-MAX(D3,P3),0)+IF(S3&lt;&gt;0,MIN(T3,E3)-MAX(D3,S3),0)+IF(V3&lt;&gt;0,MIN(W3,E3)-MAX(D3,V3),0)+IF(Y3&lt;&gt;0,MIN(Z3,E3)-MAX(D3,Y3),0)+IF(AB3&lt;&gt;0,MIN(AC3,E3)-MAX(D3,AB3),0)</f>
        <v>0</v>
      </c>
      <c r="AE3" s="68">
        <f>MAX((E3-D3)-AD3,0)</f>
        <v>91</v>
      </c>
      <c r="AF3" s="69">
        <f>AD3/(E3-D3)</f>
        <v>0</v>
      </c>
      <c r="AG3" s="70"/>
    </row>
    <row r="4" spans="1:33" ht="16.5" customHeight="1">
      <c r="A4" s="59"/>
      <c r="B4" s="59"/>
      <c r="C4" s="59"/>
      <c r="D4" s="71" t="s">
        <v>105</v>
      </c>
      <c r="E4" s="71"/>
      <c r="F4" s="72"/>
      <c r="G4" s="73"/>
      <c r="H4" s="73"/>
      <c r="I4" s="74"/>
      <c r="J4" s="73"/>
      <c r="K4" s="73"/>
      <c r="L4" s="74"/>
      <c r="M4" s="73"/>
      <c r="N4" s="73"/>
      <c r="O4" s="74"/>
      <c r="P4" s="73"/>
      <c r="Q4" s="73"/>
      <c r="R4" s="74"/>
      <c r="S4" s="73"/>
      <c r="T4" s="73"/>
      <c r="U4" s="74"/>
      <c r="V4" s="73"/>
      <c r="W4" s="73"/>
      <c r="X4" s="74"/>
      <c r="Y4" s="73"/>
      <c r="Z4" s="73"/>
      <c r="AA4" s="74"/>
      <c r="AB4" s="73"/>
      <c r="AC4" s="73"/>
      <c r="AD4" s="68"/>
      <c r="AE4" s="68"/>
      <c r="AF4" s="69"/>
      <c r="AG4" s="59"/>
    </row>
    <row r="5" spans="1:33" ht="16.5" customHeight="1">
      <c r="A5" s="64" t="s">
        <v>107</v>
      </c>
      <c r="B5" s="67" t="s">
        <v>106</v>
      </c>
      <c r="C5" s="65" t="s">
        <v>237</v>
      </c>
      <c r="D5" s="66">
        <f>D$3</f>
        <v>41821</v>
      </c>
      <c r="E5" s="66">
        <f>E$3</f>
        <v>41912</v>
      </c>
      <c r="F5" s="67" t="s">
        <v>169</v>
      </c>
      <c r="G5" s="90">
        <v>41835</v>
      </c>
      <c r="H5" s="90">
        <v>41842</v>
      </c>
      <c r="I5" s="67" t="s">
        <v>241</v>
      </c>
      <c r="J5" s="90">
        <v>41827</v>
      </c>
      <c r="K5" s="67" t="s">
        <v>230</v>
      </c>
      <c r="L5" s="67"/>
      <c r="M5" s="90"/>
      <c r="N5" s="90"/>
      <c r="O5" s="67"/>
      <c r="P5" s="90"/>
      <c r="Q5" s="90"/>
      <c r="R5" s="67"/>
      <c r="S5" s="90"/>
      <c r="T5" s="90"/>
      <c r="U5" s="67"/>
      <c r="V5" s="90"/>
      <c r="W5" s="90"/>
      <c r="X5" s="67"/>
      <c r="Y5" s="90"/>
      <c r="Z5" s="90"/>
      <c r="AA5" s="67"/>
      <c r="AB5" s="90"/>
      <c r="AC5" s="90"/>
      <c r="AD5" s="68">
        <f t="shared" ref="AD5:AD38" si="0">IF(G5&lt;&gt;0,MIN(H5,E5)-MAX(D5,G5),0)+IF(J5&lt;&gt;0,MIN(K5,E5)-MAX(D5,J5),0)+IF(M5&lt;&gt;0,MIN(N5,E5)-MAX(D5,M5),0)+IF(P5&lt;&gt;0,MIN(Q5,E5)-MAX(D5,P5),0)+IF(S5&lt;&gt;0,MIN(T5,E5)-MAX(D5,S5),0)+IF(V5&lt;&gt;0,MIN(W5,E5)-MAX(D5,V5),0)+IF(Y5&lt;&gt;0,MIN(Z5,E5)-MAX(D5,Y5),0)+IF(AB5&lt;&gt;0,MIN(AC5,E5)-MAX(D5,AB5),0)</f>
        <v>92</v>
      </c>
      <c r="AE5" s="68">
        <f t="shared" ref="AE5:AE39" si="1">MAX((E5-D5)-AD5,0)</f>
        <v>0</v>
      </c>
      <c r="AF5" s="69">
        <f t="shared" ref="AF5:AF38" si="2">AD5/(E5-D5)</f>
        <v>1.0109890109890109</v>
      </c>
      <c r="AG5" s="92"/>
    </row>
    <row r="6" spans="1:33" ht="16.5" customHeight="1">
      <c r="A6" s="132" t="s">
        <v>110</v>
      </c>
      <c r="B6" s="132" t="s">
        <v>106</v>
      </c>
      <c r="C6" s="133" t="s">
        <v>265</v>
      </c>
      <c r="D6" s="134">
        <f t="shared" ref="D6:E20" si="3">D$3</f>
        <v>41821</v>
      </c>
      <c r="E6" s="134">
        <f>E$3</f>
        <v>41912</v>
      </c>
      <c r="F6" s="135" t="s">
        <v>111</v>
      </c>
      <c r="G6" s="136">
        <v>41820</v>
      </c>
      <c r="H6" s="136">
        <v>41851</v>
      </c>
      <c r="I6" s="135" t="s">
        <v>142</v>
      </c>
      <c r="J6" s="136">
        <v>41841</v>
      </c>
      <c r="K6" s="136">
        <v>41887</v>
      </c>
      <c r="L6" s="135"/>
      <c r="M6" s="136"/>
      <c r="N6" s="136"/>
      <c r="O6" s="135"/>
      <c r="P6" s="136"/>
      <c r="Q6" s="136"/>
      <c r="R6" s="137"/>
      <c r="S6" s="136"/>
      <c r="T6" s="136"/>
      <c r="U6" s="137"/>
      <c r="V6" s="136"/>
      <c r="W6" s="136"/>
      <c r="X6" s="137"/>
      <c r="Y6" s="136"/>
      <c r="Z6" s="136"/>
      <c r="AA6" s="137"/>
      <c r="AB6" s="136"/>
      <c r="AC6" s="136"/>
      <c r="AD6" s="68">
        <f t="shared" si="0"/>
        <v>76</v>
      </c>
      <c r="AE6" s="68">
        <f t="shared" si="1"/>
        <v>15</v>
      </c>
      <c r="AF6" s="69">
        <f t="shared" si="2"/>
        <v>0.8351648351648352</v>
      </c>
      <c r="AG6" s="92"/>
    </row>
    <row r="7" spans="1:33" ht="16.5" customHeight="1">
      <c r="A7" s="68" t="s">
        <v>160</v>
      </c>
      <c r="B7" s="77" t="s">
        <v>220</v>
      </c>
      <c r="C7" s="78" t="s">
        <v>244</v>
      </c>
      <c r="D7" s="73">
        <f t="shared" si="3"/>
        <v>41821</v>
      </c>
      <c r="E7" s="71">
        <f>E$3</f>
        <v>41912</v>
      </c>
      <c r="F7" s="79" t="s">
        <v>246</v>
      </c>
      <c r="G7" s="91">
        <v>41827</v>
      </c>
      <c r="H7" s="91" t="s">
        <v>264</v>
      </c>
      <c r="I7" s="72" t="s">
        <v>248</v>
      </c>
      <c r="J7" s="91">
        <v>41849.29</v>
      </c>
      <c r="K7" s="91">
        <v>41859</v>
      </c>
      <c r="L7" s="74"/>
      <c r="M7" s="91"/>
      <c r="N7" s="91"/>
      <c r="O7" s="74"/>
      <c r="P7" s="91"/>
      <c r="Q7" s="91"/>
      <c r="R7" s="74"/>
      <c r="S7" s="91"/>
      <c r="T7" s="91"/>
      <c r="U7" s="74"/>
      <c r="V7" s="91"/>
      <c r="W7" s="91"/>
      <c r="X7" s="74"/>
      <c r="Y7" s="91"/>
      <c r="Z7" s="91"/>
      <c r="AA7" s="74"/>
      <c r="AB7" s="91"/>
      <c r="AC7" s="91"/>
      <c r="AD7" s="68">
        <f t="shared" si="0"/>
        <v>94.709999999999127</v>
      </c>
      <c r="AE7" s="68">
        <f t="shared" si="1"/>
        <v>0</v>
      </c>
      <c r="AF7" s="69">
        <f t="shared" si="2"/>
        <v>1.0407692307692211</v>
      </c>
      <c r="AG7" s="92"/>
    </row>
    <row r="8" spans="1:33" ht="16.5" customHeight="1">
      <c r="A8" s="68" t="s">
        <v>222</v>
      </c>
      <c r="B8" s="77" t="s">
        <v>220</v>
      </c>
      <c r="C8" s="78" t="s">
        <v>245</v>
      </c>
      <c r="D8" s="73">
        <f t="shared" si="3"/>
        <v>41821</v>
      </c>
      <c r="E8" s="71">
        <f t="shared" si="3"/>
        <v>41912</v>
      </c>
      <c r="F8" s="81" t="s">
        <v>246</v>
      </c>
      <c r="G8" s="91">
        <v>41827</v>
      </c>
      <c r="H8" s="91" t="s">
        <v>247</v>
      </c>
      <c r="I8" s="81"/>
      <c r="J8" s="91"/>
      <c r="K8" s="91"/>
      <c r="L8" s="74"/>
      <c r="M8" s="91"/>
      <c r="N8" s="91"/>
      <c r="O8" s="79"/>
      <c r="P8" s="91"/>
      <c r="Q8" s="91"/>
      <c r="R8" s="74"/>
      <c r="S8" s="91"/>
      <c r="T8" s="91"/>
      <c r="U8" s="74"/>
      <c r="V8" s="91"/>
      <c r="W8" s="91"/>
      <c r="X8" s="74"/>
      <c r="Y8" s="91"/>
      <c r="Z8" s="91"/>
      <c r="AA8" s="74"/>
      <c r="AB8" s="91"/>
      <c r="AC8" s="91"/>
      <c r="AD8" s="68">
        <f t="shared" si="0"/>
        <v>85</v>
      </c>
      <c r="AE8" s="68">
        <f t="shared" si="1"/>
        <v>6</v>
      </c>
      <c r="AF8" s="69">
        <f t="shared" si="2"/>
        <v>0.93406593406593408</v>
      </c>
      <c r="AG8" s="92"/>
    </row>
    <row r="9" spans="1:33" ht="16.5" customHeight="1">
      <c r="A9" s="75" t="s">
        <v>266</v>
      </c>
      <c r="B9" s="77" t="s">
        <v>220</v>
      </c>
      <c r="C9" s="78" t="s">
        <v>239</v>
      </c>
      <c r="D9" s="73">
        <f t="shared" si="3"/>
        <v>41821</v>
      </c>
      <c r="E9" s="71">
        <f t="shared" si="3"/>
        <v>41912</v>
      </c>
      <c r="F9" s="74" t="s">
        <v>218</v>
      </c>
      <c r="G9" s="91">
        <v>41806</v>
      </c>
      <c r="H9" s="91">
        <v>41835</v>
      </c>
      <c r="I9" s="79" t="s">
        <v>223</v>
      </c>
      <c r="J9" s="91">
        <v>41834</v>
      </c>
      <c r="K9" s="91">
        <v>41859</v>
      </c>
      <c r="L9" s="81"/>
      <c r="M9" s="91"/>
      <c r="N9" s="91"/>
      <c r="O9" s="79"/>
      <c r="P9" s="91"/>
      <c r="Q9" s="91"/>
      <c r="R9" s="79"/>
      <c r="S9" s="91"/>
      <c r="T9" s="91"/>
      <c r="U9" s="79"/>
      <c r="V9" s="91"/>
      <c r="W9" s="91"/>
      <c r="X9" s="79"/>
      <c r="Y9" s="91"/>
      <c r="Z9" s="91"/>
      <c r="AA9" s="79"/>
      <c r="AB9" s="91"/>
      <c r="AC9" s="91"/>
      <c r="AD9" s="68">
        <f t="shared" si="0"/>
        <v>39</v>
      </c>
      <c r="AE9" s="68">
        <f t="shared" si="1"/>
        <v>52</v>
      </c>
      <c r="AF9" s="69">
        <f t="shared" si="2"/>
        <v>0.42857142857142855</v>
      </c>
      <c r="AG9" s="92"/>
    </row>
    <row r="10" spans="1:33" ht="16.5" customHeight="1">
      <c r="A10" s="75" t="s">
        <v>156</v>
      </c>
      <c r="B10" s="77" t="s">
        <v>220</v>
      </c>
      <c r="C10" s="78" t="s">
        <v>238</v>
      </c>
      <c r="D10" s="73">
        <f t="shared" si="3"/>
        <v>41821</v>
      </c>
      <c r="E10" s="71">
        <f t="shared" si="3"/>
        <v>41912</v>
      </c>
      <c r="F10" s="72" t="s">
        <v>142</v>
      </c>
      <c r="G10" s="91">
        <v>41841</v>
      </c>
      <c r="H10" s="91">
        <v>41887</v>
      </c>
      <c r="I10" s="72"/>
      <c r="J10" s="91"/>
      <c r="K10" s="91"/>
      <c r="L10" s="74"/>
      <c r="M10" s="91"/>
      <c r="N10" s="91"/>
      <c r="O10" s="74"/>
      <c r="P10" s="91"/>
      <c r="Q10" s="91"/>
      <c r="R10" s="74"/>
      <c r="S10" s="91"/>
      <c r="T10" s="91"/>
      <c r="U10" s="74"/>
      <c r="V10" s="91"/>
      <c r="W10" s="91"/>
      <c r="X10" s="74"/>
      <c r="Y10" s="91"/>
      <c r="Z10" s="91"/>
      <c r="AA10" s="74"/>
      <c r="AB10" s="91"/>
      <c r="AC10" s="91"/>
      <c r="AD10" s="68">
        <f t="shared" si="0"/>
        <v>46</v>
      </c>
      <c r="AE10" s="68">
        <f t="shared" si="1"/>
        <v>45</v>
      </c>
      <c r="AF10" s="69">
        <f t="shared" si="2"/>
        <v>0.50549450549450547</v>
      </c>
      <c r="AG10" s="92"/>
    </row>
    <row r="11" spans="1:33" ht="16.5" customHeight="1">
      <c r="A11" s="132" t="s">
        <v>75</v>
      </c>
      <c r="B11" s="132" t="s">
        <v>220</v>
      </c>
      <c r="C11" s="133" t="s">
        <v>238</v>
      </c>
      <c r="D11" s="134">
        <f t="shared" si="3"/>
        <v>41821</v>
      </c>
      <c r="E11" s="134">
        <f>E$3</f>
        <v>41912</v>
      </c>
      <c r="F11" s="135" t="s">
        <v>218</v>
      </c>
      <c r="G11" s="136">
        <v>41806</v>
      </c>
      <c r="H11" s="136">
        <v>41835</v>
      </c>
      <c r="I11" s="135" t="s">
        <v>223</v>
      </c>
      <c r="J11" s="136">
        <v>41834</v>
      </c>
      <c r="K11" s="136">
        <v>41855</v>
      </c>
      <c r="L11" s="135"/>
      <c r="M11" s="136"/>
      <c r="N11" s="136"/>
      <c r="O11" s="137"/>
      <c r="P11" s="136"/>
      <c r="Q11" s="136"/>
      <c r="R11" s="137"/>
      <c r="S11" s="136"/>
      <c r="T11" s="136"/>
      <c r="U11" s="137"/>
      <c r="V11" s="136"/>
      <c r="W11" s="136"/>
      <c r="X11" s="137"/>
      <c r="Y11" s="136"/>
      <c r="Z11" s="136"/>
      <c r="AA11" s="137"/>
      <c r="AB11" s="136"/>
      <c r="AC11" s="136"/>
      <c r="AD11" s="68">
        <f t="shared" si="0"/>
        <v>35</v>
      </c>
      <c r="AE11" s="68">
        <f t="shared" si="1"/>
        <v>56</v>
      </c>
      <c r="AF11" s="69">
        <f t="shared" si="2"/>
        <v>0.38461538461538464</v>
      </c>
      <c r="AG11" s="92"/>
    </row>
    <row r="12" spans="1:33" ht="16.5" customHeight="1">
      <c r="A12" s="75" t="s">
        <v>224</v>
      </c>
      <c r="B12" s="77" t="s">
        <v>220</v>
      </c>
      <c r="C12" s="78" t="s">
        <v>239</v>
      </c>
      <c r="D12" s="73">
        <f t="shared" si="3"/>
        <v>41821</v>
      </c>
      <c r="E12" s="71">
        <f>E$3</f>
        <v>41912</v>
      </c>
      <c r="F12" s="79" t="s">
        <v>219</v>
      </c>
      <c r="G12" s="91">
        <v>41786</v>
      </c>
      <c r="H12" s="91">
        <v>41880</v>
      </c>
      <c r="I12" s="79"/>
      <c r="J12" s="91"/>
      <c r="K12" s="91"/>
      <c r="L12" s="74"/>
      <c r="M12" s="91"/>
      <c r="N12" s="91"/>
      <c r="O12" s="74"/>
      <c r="P12" s="91"/>
      <c r="Q12" s="91"/>
      <c r="R12" s="74"/>
      <c r="S12" s="91"/>
      <c r="T12" s="91"/>
      <c r="U12" s="74"/>
      <c r="V12" s="91"/>
      <c r="W12" s="91"/>
      <c r="X12" s="74"/>
      <c r="Y12" s="91"/>
      <c r="Z12" s="91"/>
      <c r="AA12" s="74"/>
      <c r="AB12" s="91"/>
      <c r="AC12" s="91"/>
      <c r="AD12" s="68">
        <f t="shared" si="0"/>
        <v>59</v>
      </c>
      <c r="AE12" s="68">
        <f t="shared" si="1"/>
        <v>32</v>
      </c>
      <c r="AF12" s="69">
        <f t="shared" si="2"/>
        <v>0.64835164835164838</v>
      </c>
      <c r="AG12" s="92"/>
    </row>
    <row r="13" spans="1:33" ht="16.5" customHeight="1">
      <c r="A13" s="75" t="s">
        <v>73</v>
      </c>
      <c r="B13" s="77" t="s">
        <v>220</v>
      </c>
      <c r="C13" s="78" t="s">
        <v>240</v>
      </c>
      <c r="D13" s="73">
        <f t="shared" si="3"/>
        <v>41821</v>
      </c>
      <c r="E13" s="71">
        <f t="shared" si="3"/>
        <v>41912</v>
      </c>
      <c r="F13" s="72" t="s">
        <v>112</v>
      </c>
      <c r="G13" s="91">
        <v>41820</v>
      </c>
      <c r="H13" s="91">
        <v>41828</v>
      </c>
      <c r="I13" s="72" t="s">
        <v>112</v>
      </c>
      <c r="J13" s="91">
        <v>41838</v>
      </c>
      <c r="K13" s="91">
        <v>41851</v>
      </c>
      <c r="L13" s="74"/>
      <c r="M13" s="91"/>
      <c r="N13" s="91"/>
      <c r="O13" s="74"/>
      <c r="P13" s="91"/>
      <c r="Q13" s="91"/>
      <c r="R13" s="74"/>
      <c r="S13" s="91"/>
      <c r="T13" s="91"/>
      <c r="U13" s="74"/>
      <c r="V13" s="91"/>
      <c r="W13" s="91"/>
      <c r="X13" s="74"/>
      <c r="Y13" s="91"/>
      <c r="Z13" s="91"/>
      <c r="AA13" s="74"/>
      <c r="AB13" s="91"/>
      <c r="AC13" s="91"/>
      <c r="AD13" s="68">
        <f t="shared" si="0"/>
        <v>20</v>
      </c>
      <c r="AE13" s="68">
        <f t="shared" si="1"/>
        <v>71</v>
      </c>
      <c r="AF13" s="69">
        <f t="shared" si="2"/>
        <v>0.21978021978021978</v>
      </c>
      <c r="AG13" s="92"/>
    </row>
    <row r="14" spans="1:33" ht="16.5" customHeight="1">
      <c r="A14" s="83" t="s">
        <v>115</v>
      </c>
      <c r="B14" s="77" t="s">
        <v>220</v>
      </c>
      <c r="C14" s="78" t="s">
        <v>239</v>
      </c>
      <c r="D14" s="73">
        <f t="shared" si="3"/>
        <v>41821</v>
      </c>
      <c r="E14" s="71">
        <f t="shared" si="3"/>
        <v>41912</v>
      </c>
      <c r="F14" s="72" t="s">
        <v>218</v>
      </c>
      <c r="G14" s="91">
        <v>41806</v>
      </c>
      <c r="H14" s="91">
        <v>41835</v>
      </c>
      <c r="I14" s="72" t="s">
        <v>228</v>
      </c>
      <c r="J14" s="91">
        <v>41834</v>
      </c>
      <c r="K14" s="91">
        <v>41855</v>
      </c>
      <c r="L14" s="72"/>
      <c r="M14" s="91"/>
      <c r="N14" s="91"/>
      <c r="O14" s="74"/>
      <c r="P14" s="91"/>
      <c r="Q14" s="91"/>
      <c r="R14" s="74"/>
      <c r="S14" s="91"/>
      <c r="T14" s="91"/>
      <c r="U14" s="74"/>
      <c r="V14" s="91"/>
      <c r="W14" s="91"/>
      <c r="X14" s="74"/>
      <c r="Y14" s="91"/>
      <c r="Z14" s="91"/>
      <c r="AA14" s="74"/>
      <c r="AB14" s="91"/>
      <c r="AC14" s="91"/>
      <c r="AD14" s="68">
        <f t="shared" si="0"/>
        <v>35</v>
      </c>
      <c r="AE14" s="68">
        <f t="shared" si="1"/>
        <v>56</v>
      </c>
      <c r="AF14" s="69">
        <f t="shared" si="2"/>
        <v>0.38461538461538464</v>
      </c>
      <c r="AG14" s="92"/>
    </row>
    <row r="15" spans="1:33" ht="16.5" customHeight="1">
      <c r="A15" s="75" t="s">
        <v>71</v>
      </c>
      <c r="B15" s="77" t="s">
        <v>220</v>
      </c>
      <c r="C15" s="78" t="s">
        <v>239</v>
      </c>
      <c r="D15" s="73">
        <f t="shared" si="3"/>
        <v>41821</v>
      </c>
      <c r="E15" s="71">
        <f t="shared" si="3"/>
        <v>41912</v>
      </c>
      <c r="F15" s="72" t="s">
        <v>166</v>
      </c>
      <c r="G15" s="91">
        <v>41821</v>
      </c>
      <c r="H15" s="91">
        <v>41866</v>
      </c>
      <c r="I15" s="72"/>
      <c r="J15" s="91"/>
      <c r="K15" s="91"/>
      <c r="L15" s="81"/>
      <c r="M15" s="91"/>
      <c r="N15" s="91"/>
      <c r="O15" s="74"/>
      <c r="P15" s="91"/>
      <c r="Q15" s="91"/>
      <c r="R15" s="74"/>
      <c r="S15" s="91"/>
      <c r="T15" s="91"/>
      <c r="U15" s="74"/>
      <c r="V15" s="91"/>
      <c r="W15" s="91"/>
      <c r="X15" s="74"/>
      <c r="Y15" s="91"/>
      <c r="Z15" s="91"/>
      <c r="AA15" s="74"/>
      <c r="AB15" s="91"/>
      <c r="AC15" s="91"/>
      <c r="AD15" s="68">
        <f t="shared" si="0"/>
        <v>45</v>
      </c>
      <c r="AE15" s="68">
        <f t="shared" si="1"/>
        <v>46</v>
      </c>
      <c r="AF15" s="69">
        <f t="shared" si="2"/>
        <v>0.49450549450549453</v>
      </c>
      <c r="AG15" s="59"/>
    </row>
    <row r="16" spans="1:33" ht="16.5" customHeight="1">
      <c r="A16" s="132" t="s">
        <v>72</v>
      </c>
      <c r="B16" s="132" t="s">
        <v>220</v>
      </c>
      <c r="C16" s="133" t="s">
        <v>238</v>
      </c>
      <c r="D16" s="134">
        <f t="shared" si="3"/>
        <v>41821</v>
      </c>
      <c r="E16" s="134">
        <f>E$3</f>
        <v>41912</v>
      </c>
      <c r="F16" s="137" t="s">
        <v>216</v>
      </c>
      <c r="G16" s="136">
        <v>41821</v>
      </c>
      <c r="H16" s="136">
        <v>41836</v>
      </c>
      <c r="I16" s="137" t="s">
        <v>229</v>
      </c>
      <c r="J16" s="136">
        <v>41830</v>
      </c>
      <c r="K16" s="136">
        <v>41845</v>
      </c>
      <c r="L16" s="137" t="s">
        <v>257</v>
      </c>
      <c r="M16" s="136">
        <v>41821</v>
      </c>
      <c r="N16" s="136">
        <v>41864</v>
      </c>
      <c r="O16" s="137"/>
      <c r="P16" s="136"/>
      <c r="Q16" s="136"/>
      <c r="R16" s="137"/>
      <c r="S16" s="136"/>
      <c r="T16" s="136"/>
      <c r="U16" s="137"/>
      <c r="V16" s="136"/>
      <c r="W16" s="136"/>
      <c r="X16" s="137"/>
      <c r="Y16" s="136"/>
      <c r="Z16" s="136"/>
      <c r="AA16" s="137"/>
      <c r="AB16" s="136"/>
      <c r="AC16" s="136"/>
      <c r="AD16" s="68">
        <f t="shared" si="0"/>
        <v>73</v>
      </c>
      <c r="AE16" s="68">
        <f t="shared" si="1"/>
        <v>18</v>
      </c>
      <c r="AF16" s="69">
        <f t="shared" si="2"/>
        <v>0.80219780219780223</v>
      </c>
      <c r="AG16" s="59"/>
    </row>
    <row r="17" spans="1:33" ht="16.5" customHeight="1">
      <c r="A17" s="83" t="s">
        <v>221</v>
      </c>
      <c r="B17" s="77" t="s">
        <v>220</v>
      </c>
      <c r="C17" s="78" t="s">
        <v>239</v>
      </c>
      <c r="D17" s="73">
        <f t="shared" si="3"/>
        <v>41821</v>
      </c>
      <c r="E17" s="71">
        <f>E$3</f>
        <v>41912</v>
      </c>
      <c r="F17" s="79" t="s">
        <v>242</v>
      </c>
      <c r="G17" s="91">
        <v>41827</v>
      </c>
      <c r="H17" s="91">
        <v>41852</v>
      </c>
      <c r="I17" s="74"/>
      <c r="J17" s="91"/>
      <c r="K17" s="91"/>
      <c r="L17" s="74"/>
      <c r="M17" s="91"/>
      <c r="N17" s="91"/>
      <c r="O17" s="79"/>
      <c r="P17" s="91"/>
      <c r="Q17" s="91"/>
      <c r="R17" s="81"/>
      <c r="S17" s="91"/>
      <c r="T17" s="91"/>
      <c r="U17" s="81"/>
      <c r="V17" s="91"/>
      <c r="W17" s="91"/>
      <c r="X17" s="74"/>
      <c r="Y17" s="91"/>
      <c r="Z17" s="91"/>
      <c r="AA17" s="74"/>
      <c r="AB17" s="91"/>
      <c r="AC17" s="91"/>
      <c r="AD17" s="68">
        <f t="shared" si="0"/>
        <v>25</v>
      </c>
      <c r="AE17" s="68">
        <f t="shared" si="1"/>
        <v>66</v>
      </c>
      <c r="AF17" s="69">
        <f t="shared" si="2"/>
        <v>0.27472527472527475</v>
      </c>
      <c r="AG17" s="59"/>
    </row>
    <row r="18" spans="1:33" ht="16.5" customHeight="1">
      <c r="A18" s="75" t="s">
        <v>74</v>
      </c>
      <c r="B18" s="77" t="s">
        <v>220</v>
      </c>
      <c r="C18" s="78" t="s">
        <v>239</v>
      </c>
      <c r="D18" s="73">
        <f t="shared" si="3"/>
        <v>41821</v>
      </c>
      <c r="E18" s="71">
        <f t="shared" si="3"/>
        <v>41912</v>
      </c>
      <c r="F18" s="72" t="s">
        <v>268</v>
      </c>
      <c r="G18" s="91">
        <v>41821</v>
      </c>
      <c r="H18" s="91">
        <v>41873</v>
      </c>
      <c r="I18" s="72"/>
      <c r="J18" s="91"/>
      <c r="K18" s="91"/>
      <c r="L18" s="74"/>
      <c r="M18" s="91"/>
      <c r="N18" s="91"/>
      <c r="O18" s="74"/>
      <c r="P18" s="91"/>
      <c r="Q18" s="91"/>
      <c r="R18" s="74"/>
      <c r="S18" s="91"/>
      <c r="T18" s="91"/>
      <c r="U18" s="74"/>
      <c r="V18" s="91"/>
      <c r="W18" s="91"/>
      <c r="X18" s="74"/>
      <c r="Y18" s="91"/>
      <c r="Z18" s="91"/>
      <c r="AA18" s="74"/>
      <c r="AB18" s="91"/>
      <c r="AC18" s="91"/>
      <c r="AD18" s="68">
        <f t="shared" si="0"/>
        <v>52</v>
      </c>
      <c r="AE18" s="68">
        <f t="shared" si="1"/>
        <v>39</v>
      </c>
      <c r="AF18" s="69">
        <f t="shared" si="2"/>
        <v>0.5714285714285714</v>
      </c>
      <c r="AG18" s="84"/>
    </row>
    <row r="19" spans="1:33" ht="16.5" customHeight="1">
      <c r="A19" s="126" t="s">
        <v>157</v>
      </c>
      <c r="B19" s="77" t="s">
        <v>220</v>
      </c>
      <c r="C19" s="78" t="s">
        <v>240</v>
      </c>
      <c r="D19" s="73">
        <f t="shared" si="3"/>
        <v>41821</v>
      </c>
      <c r="E19" s="71">
        <f t="shared" si="3"/>
        <v>41912</v>
      </c>
      <c r="F19" s="72" t="s">
        <v>256</v>
      </c>
      <c r="G19" s="91">
        <v>41821</v>
      </c>
      <c r="H19" s="91">
        <v>41864</v>
      </c>
      <c r="I19" s="72"/>
      <c r="J19" s="91"/>
      <c r="K19" s="91"/>
      <c r="L19" s="74"/>
      <c r="M19" s="91"/>
      <c r="N19" s="91"/>
      <c r="O19" s="74"/>
      <c r="P19" s="91"/>
      <c r="Q19" s="91"/>
      <c r="R19" s="74"/>
      <c r="S19" s="91"/>
      <c r="T19" s="91"/>
      <c r="U19" s="74"/>
      <c r="V19" s="91"/>
      <c r="W19" s="91"/>
      <c r="X19" s="74"/>
      <c r="Y19" s="91"/>
      <c r="Z19" s="91"/>
      <c r="AA19" s="74"/>
      <c r="AB19" s="91"/>
      <c r="AC19" s="91"/>
      <c r="AD19" s="68">
        <f t="shared" si="0"/>
        <v>43</v>
      </c>
      <c r="AE19" s="68">
        <f t="shared" si="1"/>
        <v>48</v>
      </c>
      <c r="AF19" s="69">
        <f t="shared" si="2"/>
        <v>0.47252747252747251</v>
      </c>
      <c r="AG19" s="84"/>
    </row>
    <row r="20" spans="1:33" ht="16.5" customHeight="1">
      <c r="A20" s="126" t="s">
        <v>158</v>
      </c>
      <c r="B20" s="77" t="s">
        <v>220</v>
      </c>
      <c r="C20" s="78" t="s">
        <v>240</v>
      </c>
      <c r="D20" s="73">
        <f t="shared" si="3"/>
        <v>41821</v>
      </c>
      <c r="E20" s="71">
        <f t="shared" si="3"/>
        <v>41912</v>
      </c>
      <c r="F20" s="72" t="s">
        <v>256</v>
      </c>
      <c r="G20" s="91">
        <v>41821</v>
      </c>
      <c r="H20" s="91">
        <v>41864</v>
      </c>
      <c r="I20" s="72"/>
      <c r="J20" s="91"/>
      <c r="K20" s="91"/>
      <c r="L20" s="74"/>
      <c r="M20" s="91"/>
      <c r="N20" s="91"/>
      <c r="O20" s="74"/>
      <c r="P20" s="91"/>
      <c r="Q20" s="91"/>
      <c r="R20" s="74"/>
      <c r="S20" s="91"/>
      <c r="T20" s="91"/>
      <c r="U20" s="74"/>
      <c r="V20" s="91"/>
      <c r="W20" s="91"/>
      <c r="X20" s="74"/>
      <c r="Y20" s="91"/>
      <c r="Z20" s="91"/>
      <c r="AA20" s="74"/>
      <c r="AB20" s="91"/>
      <c r="AC20" s="91"/>
      <c r="AD20" s="68">
        <f t="shared" si="0"/>
        <v>43</v>
      </c>
      <c r="AE20" s="68">
        <f t="shared" si="1"/>
        <v>48</v>
      </c>
      <c r="AF20" s="69">
        <f t="shared" si="2"/>
        <v>0.47252747252747251</v>
      </c>
      <c r="AG20" s="84"/>
    </row>
    <row r="21" spans="1:33" ht="16.5" customHeight="1">
      <c r="A21" s="154" t="s">
        <v>159</v>
      </c>
      <c r="B21" s="77" t="s">
        <v>220</v>
      </c>
      <c r="C21" s="78" t="s">
        <v>225</v>
      </c>
      <c r="D21" s="73">
        <f t="shared" ref="D21:E21" si="4">D$3</f>
        <v>41821</v>
      </c>
      <c r="E21" s="71">
        <f t="shared" si="4"/>
        <v>41912</v>
      </c>
      <c r="F21" s="72"/>
      <c r="G21" s="91"/>
      <c r="H21" s="91"/>
      <c r="I21" s="72"/>
      <c r="J21" s="91"/>
      <c r="K21" s="91"/>
      <c r="L21" s="74"/>
      <c r="M21" s="91"/>
      <c r="N21" s="91"/>
      <c r="O21" s="74"/>
      <c r="P21" s="91"/>
      <c r="Q21" s="91"/>
      <c r="R21" s="74"/>
      <c r="S21" s="91"/>
      <c r="T21" s="91"/>
      <c r="U21" s="74"/>
      <c r="V21" s="91"/>
      <c r="W21" s="91"/>
      <c r="X21" s="74"/>
      <c r="Y21" s="91"/>
      <c r="Z21" s="91"/>
      <c r="AA21" s="74"/>
      <c r="AB21" s="91"/>
      <c r="AC21" s="91"/>
      <c r="AD21" s="68">
        <f t="shared" si="0"/>
        <v>0</v>
      </c>
      <c r="AE21" s="68">
        <f t="shared" si="1"/>
        <v>91</v>
      </c>
      <c r="AF21" s="69">
        <f t="shared" si="2"/>
        <v>0</v>
      </c>
      <c r="AG21" s="84"/>
    </row>
    <row r="22" spans="1:33" ht="16.5" customHeight="1">
      <c r="A22" s="83" t="s">
        <v>121</v>
      </c>
      <c r="B22" s="77" t="s">
        <v>122</v>
      </c>
      <c r="C22" s="77" t="s">
        <v>122</v>
      </c>
      <c r="D22" s="71">
        <f t="shared" ref="D22:E38" si="5">D$3</f>
        <v>41821</v>
      </c>
      <c r="E22" s="71">
        <f t="shared" si="5"/>
        <v>41912</v>
      </c>
      <c r="F22" s="72" t="s">
        <v>137</v>
      </c>
      <c r="G22" s="91">
        <v>41820</v>
      </c>
      <c r="H22" s="91">
        <v>41851</v>
      </c>
      <c r="I22" s="74"/>
      <c r="J22" s="91"/>
      <c r="K22" s="91"/>
      <c r="L22" s="74"/>
      <c r="M22" s="91"/>
      <c r="N22" s="91"/>
      <c r="O22" s="74"/>
      <c r="P22" s="91"/>
      <c r="Q22" s="91"/>
      <c r="R22" s="74"/>
      <c r="S22" s="91"/>
      <c r="T22" s="91"/>
      <c r="U22" s="74"/>
      <c r="V22" s="91"/>
      <c r="W22" s="91"/>
      <c r="X22" s="74"/>
      <c r="Y22" s="91"/>
      <c r="Z22" s="91"/>
      <c r="AA22" s="74"/>
      <c r="AB22" s="91"/>
      <c r="AC22" s="91"/>
      <c r="AD22" s="68">
        <f t="shared" si="0"/>
        <v>30</v>
      </c>
      <c r="AE22" s="68">
        <f t="shared" si="1"/>
        <v>61</v>
      </c>
      <c r="AF22" s="69">
        <f t="shared" si="2"/>
        <v>0.32967032967032966</v>
      </c>
      <c r="AG22" s="84"/>
    </row>
    <row r="23" spans="1:33" ht="16.5" customHeight="1">
      <c r="A23" s="75"/>
      <c r="B23" s="77"/>
      <c r="C23" s="78"/>
      <c r="D23" s="71"/>
      <c r="E23" s="71"/>
      <c r="F23" s="72"/>
      <c r="G23" s="73"/>
      <c r="H23" s="73"/>
      <c r="I23" s="74"/>
      <c r="J23" s="73"/>
      <c r="K23" s="73"/>
      <c r="L23" s="74"/>
      <c r="M23" s="73"/>
      <c r="N23" s="73"/>
      <c r="O23" s="74"/>
      <c r="P23" s="73"/>
      <c r="Q23" s="73"/>
      <c r="R23" s="74"/>
      <c r="S23" s="73"/>
      <c r="T23" s="73"/>
      <c r="U23" s="74"/>
      <c r="V23" s="73"/>
      <c r="W23" s="73"/>
      <c r="X23" s="74"/>
      <c r="Y23" s="73"/>
      <c r="Z23" s="73"/>
      <c r="AA23" s="74"/>
      <c r="AB23" s="73"/>
      <c r="AC23" s="73"/>
      <c r="AD23" s="68"/>
      <c r="AE23" s="68"/>
      <c r="AF23" s="69"/>
      <c r="AG23" s="84"/>
    </row>
    <row r="24" spans="1:33" ht="16.5" customHeight="1">
      <c r="A24" s="64" t="s">
        <v>25</v>
      </c>
      <c r="B24" s="64" t="s">
        <v>106</v>
      </c>
      <c r="C24" s="64" t="s">
        <v>117</v>
      </c>
      <c r="D24" s="66">
        <f t="shared" si="5"/>
        <v>41821</v>
      </c>
      <c r="E24" s="66">
        <f>E$3</f>
        <v>41912</v>
      </c>
      <c r="F24" s="67" t="s">
        <v>139</v>
      </c>
      <c r="G24" s="66">
        <v>41813</v>
      </c>
      <c r="H24" s="66">
        <v>41865</v>
      </c>
      <c r="I24" s="67" t="s">
        <v>109</v>
      </c>
      <c r="J24" s="66">
        <v>41763</v>
      </c>
      <c r="K24" s="66">
        <v>41882</v>
      </c>
      <c r="L24" s="67" t="s">
        <v>249</v>
      </c>
      <c r="M24" s="66">
        <v>41764</v>
      </c>
      <c r="N24" s="66" t="s">
        <v>250</v>
      </c>
      <c r="O24" s="67" t="s">
        <v>248</v>
      </c>
      <c r="P24" s="66">
        <v>41795</v>
      </c>
      <c r="Q24" s="66" t="s">
        <v>250</v>
      </c>
      <c r="R24" s="67" t="s">
        <v>251</v>
      </c>
      <c r="S24" s="66">
        <v>41817</v>
      </c>
      <c r="T24" s="66" t="s">
        <v>250</v>
      </c>
      <c r="U24" s="67"/>
      <c r="V24" s="66"/>
      <c r="W24" s="66"/>
      <c r="X24" s="67"/>
      <c r="Y24" s="66"/>
      <c r="Z24" s="66"/>
      <c r="AA24" s="67"/>
      <c r="AB24" s="66"/>
      <c r="AC24" s="66"/>
      <c r="AD24" s="68">
        <f t="shared" si="0"/>
        <v>378</v>
      </c>
      <c r="AE24" s="68">
        <f t="shared" si="1"/>
        <v>0</v>
      </c>
      <c r="AF24" s="69">
        <f t="shared" si="2"/>
        <v>4.1538461538461542</v>
      </c>
      <c r="AG24" s="92"/>
    </row>
    <row r="25" spans="1:33" ht="16.5" customHeight="1">
      <c r="A25" s="77" t="s">
        <v>116</v>
      </c>
      <c r="B25" s="77" t="s">
        <v>106</v>
      </c>
      <c r="C25" s="77" t="s">
        <v>117</v>
      </c>
      <c r="D25" s="71">
        <f t="shared" si="5"/>
        <v>41821</v>
      </c>
      <c r="E25" s="71">
        <f>E$3</f>
        <v>41912</v>
      </c>
      <c r="F25" s="74" t="s">
        <v>142</v>
      </c>
      <c r="G25" s="73">
        <v>41834</v>
      </c>
      <c r="H25" s="73">
        <v>41887</v>
      </c>
      <c r="I25" s="74" t="s">
        <v>231</v>
      </c>
      <c r="J25" s="73">
        <v>41830</v>
      </c>
      <c r="K25" s="73" t="s">
        <v>232</v>
      </c>
      <c r="L25" s="81" t="s">
        <v>233</v>
      </c>
      <c r="M25" s="80">
        <v>41841</v>
      </c>
      <c r="N25" s="80" t="s">
        <v>230</v>
      </c>
      <c r="O25" s="81"/>
      <c r="P25" s="80"/>
      <c r="Q25" s="80"/>
      <c r="R25" s="81"/>
      <c r="S25" s="80"/>
      <c r="T25" s="80"/>
      <c r="U25" s="74"/>
      <c r="V25" s="73"/>
      <c r="W25" s="73"/>
      <c r="X25" s="74"/>
      <c r="Y25" s="73"/>
      <c r="Z25" s="73"/>
      <c r="AA25" s="74"/>
      <c r="AB25" s="73"/>
      <c r="AC25" s="73"/>
      <c r="AD25" s="68">
        <f t="shared" si="0"/>
        <v>206</v>
      </c>
      <c r="AE25" s="68">
        <f t="shared" si="1"/>
        <v>0</v>
      </c>
      <c r="AF25" s="69">
        <f t="shared" si="2"/>
        <v>2.2637362637362637</v>
      </c>
      <c r="AG25" s="92"/>
    </row>
    <row r="26" spans="1:33" ht="16.5" customHeight="1">
      <c r="A26" s="77" t="s">
        <v>243</v>
      </c>
      <c r="B26" s="77" t="s">
        <v>106</v>
      </c>
      <c r="C26" s="77" t="s">
        <v>117</v>
      </c>
      <c r="D26" s="71">
        <f t="shared" si="5"/>
        <v>41821</v>
      </c>
      <c r="E26" s="71">
        <f t="shared" si="5"/>
        <v>41912</v>
      </c>
      <c r="F26" s="79" t="s">
        <v>109</v>
      </c>
      <c r="G26" s="80">
        <v>41724</v>
      </c>
      <c r="H26" s="80">
        <v>41882</v>
      </c>
      <c r="I26" s="81" t="s">
        <v>118</v>
      </c>
      <c r="J26" s="80">
        <v>41793</v>
      </c>
      <c r="K26" s="80" t="s">
        <v>230</v>
      </c>
      <c r="L26" s="81"/>
      <c r="M26" s="80"/>
      <c r="N26" s="80"/>
      <c r="O26" s="81"/>
      <c r="P26" s="80"/>
      <c r="Q26" s="80"/>
      <c r="R26" s="74"/>
      <c r="S26" s="73"/>
      <c r="T26" s="73"/>
      <c r="U26" s="74"/>
      <c r="V26" s="73"/>
      <c r="W26" s="73"/>
      <c r="X26" s="74"/>
      <c r="Y26" s="73"/>
      <c r="Z26" s="73"/>
      <c r="AA26" s="74"/>
      <c r="AB26" s="73"/>
      <c r="AC26" s="73"/>
      <c r="AD26" s="68">
        <f t="shared" si="0"/>
        <v>152</v>
      </c>
      <c r="AE26" s="68">
        <f t="shared" si="1"/>
        <v>0</v>
      </c>
      <c r="AF26" s="69">
        <f t="shared" si="2"/>
        <v>1.6703296703296704</v>
      </c>
      <c r="AG26" s="70"/>
    </row>
    <row r="27" spans="1:33" ht="16.5" customHeight="1">
      <c r="A27" s="75" t="s">
        <v>119</v>
      </c>
      <c r="B27" s="83" t="s">
        <v>106</v>
      </c>
      <c r="C27" s="77" t="s">
        <v>117</v>
      </c>
      <c r="D27" s="73">
        <f t="shared" si="5"/>
        <v>41821</v>
      </c>
      <c r="E27" s="71">
        <f t="shared" si="5"/>
        <v>41912</v>
      </c>
      <c r="F27" s="72" t="s">
        <v>111</v>
      </c>
      <c r="G27" s="73">
        <v>41745</v>
      </c>
      <c r="H27" s="73">
        <v>41851</v>
      </c>
      <c r="I27" s="72" t="s">
        <v>138</v>
      </c>
      <c r="J27" s="73">
        <v>41813</v>
      </c>
      <c r="K27" s="73">
        <v>41859</v>
      </c>
      <c r="L27" s="72"/>
      <c r="M27" s="73"/>
      <c r="N27" s="73"/>
      <c r="O27" s="74"/>
      <c r="P27" s="73"/>
      <c r="Q27" s="73"/>
      <c r="R27" s="74"/>
      <c r="S27" s="73"/>
      <c r="T27" s="73"/>
      <c r="U27" s="74"/>
      <c r="V27" s="73"/>
      <c r="W27" s="73"/>
      <c r="X27" s="74"/>
      <c r="Y27" s="73"/>
      <c r="Z27" s="73"/>
      <c r="AA27" s="74"/>
      <c r="AB27" s="73"/>
      <c r="AC27" s="73"/>
      <c r="AD27" s="68">
        <f t="shared" si="0"/>
        <v>68</v>
      </c>
      <c r="AE27" s="68">
        <f t="shared" si="1"/>
        <v>23</v>
      </c>
      <c r="AF27" s="69">
        <f t="shared" si="2"/>
        <v>0.74725274725274726</v>
      </c>
      <c r="AG27" s="92"/>
    </row>
    <row r="28" spans="1:33" ht="16.5" customHeight="1">
      <c r="A28" s="75" t="s">
        <v>141</v>
      </c>
      <c r="B28" s="83" t="s">
        <v>106</v>
      </c>
      <c r="C28" s="77" t="s">
        <v>117</v>
      </c>
      <c r="D28" s="73">
        <f t="shared" si="5"/>
        <v>41821</v>
      </c>
      <c r="E28" s="71">
        <f t="shared" si="5"/>
        <v>41912</v>
      </c>
      <c r="F28" s="74" t="s">
        <v>236</v>
      </c>
      <c r="G28" s="130">
        <v>41821</v>
      </c>
      <c r="H28" s="130">
        <v>41851</v>
      </c>
      <c r="I28" s="74" t="s">
        <v>167</v>
      </c>
      <c r="J28" s="130">
        <v>41829</v>
      </c>
      <c r="K28" s="130">
        <v>41851</v>
      </c>
      <c r="L28" s="72"/>
      <c r="M28" s="73"/>
      <c r="N28" s="73"/>
      <c r="O28" s="72"/>
      <c r="P28" s="73"/>
      <c r="Q28" s="73"/>
      <c r="R28" s="74"/>
      <c r="S28" s="73"/>
      <c r="T28" s="73"/>
      <c r="U28" s="74"/>
      <c r="V28" s="73"/>
      <c r="W28" s="73"/>
      <c r="X28" s="74"/>
      <c r="Y28" s="73"/>
      <c r="Z28" s="73"/>
      <c r="AA28" s="74"/>
      <c r="AB28" s="73"/>
      <c r="AC28" s="73"/>
      <c r="AD28" s="68">
        <f t="shared" si="0"/>
        <v>52</v>
      </c>
      <c r="AE28" s="68">
        <f t="shared" si="1"/>
        <v>39</v>
      </c>
      <c r="AF28" s="69">
        <f t="shared" si="2"/>
        <v>0.5714285714285714</v>
      </c>
      <c r="AG28" s="92"/>
    </row>
    <row r="29" spans="1:33" ht="16.5" customHeight="1">
      <c r="A29" s="75" t="s">
        <v>161</v>
      </c>
      <c r="B29" s="83" t="s">
        <v>106</v>
      </c>
      <c r="C29" s="77" t="s">
        <v>117</v>
      </c>
      <c r="D29" s="73">
        <f t="shared" si="5"/>
        <v>41821</v>
      </c>
      <c r="E29" s="71">
        <f t="shared" si="5"/>
        <v>41912</v>
      </c>
      <c r="F29" s="129" t="s">
        <v>166</v>
      </c>
      <c r="G29" s="130">
        <v>41836</v>
      </c>
      <c r="H29" s="130" t="s">
        <v>230</v>
      </c>
      <c r="I29" s="74"/>
      <c r="J29" s="73"/>
      <c r="K29" s="73"/>
      <c r="L29" s="74"/>
      <c r="M29" s="73"/>
      <c r="N29" s="73"/>
      <c r="O29" s="74"/>
      <c r="P29" s="73"/>
      <c r="Q29" s="73"/>
      <c r="R29" s="74"/>
      <c r="S29" s="73"/>
      <c r="T29" s="73"/>
      <c r="U29" s="74"/>
      <c r="V29" s="73"/>
      <c r="W29" s="73"/>
      <c r="X29" s="74"/>
      <c r="Y29" s="73"/>
      <c r="Z29" s="73"/>
      <c r="AA29" s="74"/>
      <c r="AB29" s="73"/>
      <c r="AC29" s="73"/>
      <c r="AD29" s="68">
        <f t="shared" si="0"/>
        <v>76</v>
      </c>
      <c r="AE29" s="68">
        <f t="shared" si="1"/>
        <v>15</v>
      </c>
      <c r="AF29" s="69">
        <f t="shared" si="2"/>
        <v>0.8351648351648352</v>
      </c>
      <c r="AG29" s="92"/>
    </row>
    <row r="30" spans="1:33" ht="16.5" customHeight="1">
      <c r="A30" s="75"/>
      <c r="B30" s="83"/>
      <c r="C30" s="77"/>
      <c r="D30" s="73"/>
      <c r="E30" s="71"/>
      <c r="F30" s="129"/>
      <c r="G30" s="130"/>
      <c r="H30" s="130"/>
      <c r="I30" s="74"/>
      <c r="J30" s="73"/>
      <c r="K30" s="73"/>
      <c r="L30" s="74"/>
      <c r="M30" s="73"/>
      <c r="N30" s="73"/>
      <c r="O30" s="74"/>
      <c r="P30" s="73"/>
      <c r="Q30" s="73"/>
      <c r="R30" s="74"/>
      <c r="S30" s="73"/>
      <c r="T30" s="73"/>
      <c r="U30" s="74"/>
      <c r="V30" s="73"/>
      <c r="W30" s="73"/>
      <c r="X30" s="74"/>
      <c r="Y30" s="73"/>
      <c r="Z30" s="73"/>
      <c r="AA30" s="74"/>
      <c r="AB30" s="73"/>
      <c r="AC30" s="73"/>
      <c r="AD30" s="68"/>
      <c r="AE30" s="68"/>
      <c r="AF30" s="69"/>
      <c r="AG30" s="92"/>
    </row>
    <row r="31" spans="1:33" ht="16.5" customHeight="1">
      <c r="A31" s="64"/>
      <c r="B31" s="64"/>
      <c r="C31" s="64"/>
      <c r="D31" s="66"/>
      <c r="E31" s="66"/>
      <c r="F31" s="157"/>
      <c r="G31" s="158"/>
      <c r="H31" s="158"/>
      <c r="I31" s="67"/>
      <c r="J31" s="66"/>
      <c r="K31" s="66"/>
      <c r="L31" s="67"/>
      <c r="M31" s="66"/>
      <c r="N31" s="66"/>
      <c r="O31" s="67"/>
      <c r="P31" s="66"/>
      <c r="Q31" s="66"/>
      <c r="R31" s="67"/>
      <c r="S31" s="66"/>
      <c r="T31" s="66"/>
      <c r="U31" s="67"/>
      <c r="V31" s="66"/>
      <c r="W31" s="66"/>
      <c r="X31" s="67"/>
      <c r="Y31" s="66"/>
      <c r="Z31" s="66"/>
      <c r="AA31" s="67"/>
      <c r="AB31" s="66"/>
      <c r="AC31" s="66"/>
      <c r="AD31" s="68"/>
      <c r="AE31" s="68"/>
      <c r="AF31" s="69"/>
      <c r="AG31" s="92"/>
    </row>
    <row r="32" spans="1:33" ht="16.5" customHeight="1">
      <c r="A32" s="75" t="s">
        <v>258</v>
      </c>
      <c r="B32" s="83" t="s">
        <v>106</v>
      </c>
      <c r="C32" s="77" t="s">
        <v>259</v>
      </c>
      <c r="D32" s="73">
        <f t="shared" si="5"/>
        <v>41821</v>
      </c>
      <c r="E32" s="71">
        <f t="shared" si="5"/>
        <v>41912</v>
      </c>
      <c r="F32" s="129" t="s">
        <v>166</v>
      </c>
      <c r="G32" s="130">
        <v>41850</v>
      </c>
      <c r="H32" s="130">
        <v>41852</v>
      </c>
      <c r="I32" s="74"/>
      <c r="J32" s="73"/>
      <c r="K32" s="73"/>
      <c r="L32" s="74"/>
      <c r="M32" s="73"/>
      <c r="N32" s="73"/>
      <c r="O32" s="74"/>
      <c r="P32" s="73"/>
      <c r="Q32" s="73"/>
      <c r="R32" s="74"/>
      <c r="S32" s="73"/>
      <c r="T32" s="73"/>
      <c r="U32" s="74"/>
      <c r="V32" s="73"/>
      <c r="W32" s="73"/>
      <c r="X32" s="74"/>
      <c r="Y32" s="73"/>
      <c r="Z32" s="73"/>
      <c r="AA32" s="74"/>
      <c r="AB32" s="73"/>
      <c r="AC32" s="73"/>
      <c r="AD32" s="68"/>
      <c r="AE32" s="68"/>
      <c r="AF32" s="69">
        <f t="shared" si="2"/>
        <v>0</v>
      </c>
      <c r="AG32" s="92"/>
    </row>
    <row r="33" spans="1:33" ht="16.5" customHeight="1">
      <c r="A33" s="75" t="s">
        <v>260</v>
      </c>
      <c r="B33" s="83" t="s">
        <v>106</v>
      </c>
      <c r="C33" s="77" t="s">
        <v>259</v>
      </c>
      <c r="D33" s="73">
        <f t="shared" si="5"/>
        <v>41821</v>
      </c>
      <c r="E33" s="71">
        <f t="shared" si="5"/>
        <v>41912</v>
      </c>
      <c r="F33" s="129" t="s">
        <v>166</v>
      </c>
      <c r="G33" s="130">
        <v>41850</v>
      </c>
      <c r="H33" s="130">
        <v>41852</v>
      </c>
      <c r="I33" s="74"/>
      <c r="J33" s="73"/>
      <c r="K33" s="73"/>
      <c r="L33" s="74"/>
      <c r="M33" s="73"/>
      <c r="N33" s="73"/>
      <c r="O33" s="74"/>
      <c r="P33" s="73"/>
      <c r="Q33" s="73"/>
      <c r="R33" s="74"/>
      <c r="S33" s="73"/>
      <c r="T33" s="73"/>
      <c r="U33" s="74"/>
      <c r="V33" s="73"/>
      <c r="W33" s="73"/>
      <c r="X33" s="74"/>
      <c r="Y33" s="73"/>
      <c r="Z33" s="73"/>
      <c r="AA33" s="74"/>
      <c r="AB33" s="73"/>
      <c r="AC33" s="73"/>
      <c r="AD33" s="68"/>
      <c r="AE33" s="68"/>
      <c r="AF33" s="69">
        <f t="shared" si="2"/>
        <v>0</v>
      </c>
      <c r="AG33" s="92"/>
    </row>
    <row r="34" spans="1:33" ht="16.5" customHeight="1">
      <c r="A34" s="75" t="s">
        <v>261</v>
      </c>
      <c r="B34" s="83" t="s">
        <v>106</v>
      </c>
      <c r="C34" s="77" t="s">
        <v>259</v>
      </c>
      <c r="D34" s="73">
        <f t="shared" si="5"/>
        <v>41821</v>
      </c>
      <c r="E34" s="71">
        <f t="shared" si="5"/>
        <v>41912</v>
      </c>
      <c r="F34" s="129" t="s">
        <v>262</v>
      </c>
      <c r="G34" s="130">
        <v>41849</v>
      </c>
      <c r="H34" s="130">
        <v>41852</v>
      </c>
      <c r="I34" s="74"/>
      <c r="J34" s="73"/>
      <c r="K34" s="73"/>
      <c r="L34" s="74"/>
      <c r="M34" s="73"/>
      <c r="N34" s="73"/>
      <c r="O34" s="74"/>
      <c r="P34" s="73"/>
      <c r="Q34" s="73"/>
      <c r="R34" s="74"/>
      <c r="S34" s="73"/>
      <c r="T34" s="73"/>
      <c r="U34" s="74"/>
      <c r="V34" s="73"/>
      <c r="W34" s="73"/>
      <c r="X34" s="74"/>
      <c r="Y34" s="73"/>
      <c r="Z34" s="73"/>
      <c r="AA34" s="74"/>
      <c r="AB34" s="73"/>
      <c r="AC34" s="73"/>
      <c r="AD34" s="68"/>
      <c r="AE34" s="68"/>
      <c r="AF34" s="69">
        <f t="shared" si="2"/>
        <v>0</v>
      </c>
      <c r="AG34" s="92"/>
    </row>
    <row r="35" spans="1:33" ht="16.5" customHeight="1">
      <c r="A35" s="75"/>
      <c r="B35" s="83"/>
      <c r="C35" s="77"/>
      <c r="D35" s="73"/>
      <c r="E35" s="71"/>
      <c r="F35" s="129"/>
      <c r="G35" s="130"/>
      <c r="H35" s="130"/>
      <c r="I35" s="74"/>
      <c r="J35" s="73"/>
      <c r="K35" s="73"/>
      <c r="L35" s="74"/>
      <c r="M35" s="73"/>
      <c r="N35" s="73"/>
      <c r="O35" s="74"/>
      <c r="P35" s="73"/>
      <c r="Q35" s="73"/>
      <c r="R35" s="74"/>
      <c r="S35" s="73"/>
      <c r="T35" s="73"/>
      <c r="U35" s="74"/>
      <c r="V35" s="73"/>
      <c r="W35" s="73"/>
      <c r="X35" s="74"/>
      <c r="Y35" s="73"/>
      <c r="Z35" s="73"/>
      <c r="AA35" s="74"/>
      <c r="AB35" s="73"/>
      <c r="AC35" s="73"/>
      <c r="AD35" s="68"/>
      <c r="AE35" s="68"/>
      <c r="AF35" s="69"/>
      <c r="AG35" s="92"/>
    </row>
    <row r="36" spans="1:33" ht="16.5" customHeight="1">
      <c r="A36" s="64"/>
      <c r="B36" s="65"/>
      <c r="C36" s="65"/>
      <c r="D36" s="66"/>
      <c r="E36" s="66"/>
      <c r="F36" s="67"/>
      <c r="G36" s="66"/>
      <c r="H36" s="66"/>
      <c r="I36" s="67"/>
      <c r="J36" s="66"/>
      <c r="K36" s="66"/>
      <c r="L36" s="67"/>
      <c r="M36" s="66"/>
      <c r="N36" s="66"/>
      <c r="O36" s="67"/>
      <c r="P36" s="66"/>
      <c r="Q36" s="66"/>
      <c r="R36" s="67"/>
      <c r="S36" s="66"/>
      <c r="T36" s="66"/>
      <c r="U36" s="67"/>
      <c r="V36" s="66"/>
      <c r="W36" s="66"/>
      <c r="X36" s="67"/>
      <c r="Y36" s="66"/>
      <c r="Z36" s="66"/>
      <c r="AA36" s="67"/>
      <c r="AB36" s="66"/>
      <c r="AC36" s="66"/>
      <c r="AD36" s="68"/>
      <c r="AE36" s="68"/>
      <c r="AF36" s="69"/>
      <c r="AG36" s="92"/>
    </row>
    <row r="37" spans="1:33" ht="16.5" customHeight="1">
      <c r="A37" s="75" t="s">
        <v>234</v>
      </c>
      <c r="B37" s="83" t="s">
        <v>106</v>
      </c>
      <c r="C37" s="78" t="s">
        <v>168</v>
      </c>
      <c r="D37" s="73">
        <f t="shared" si="5"/>
        <v>41821</v>
      </c>
      <c r="E37" s="71">
        <f t="shared" si="5"/>
        <v>41912</v>
      </c>
      <c r="F37" s="72"/>
      <c r="G37" s="130"/>
      <c r="H37" s="73"/>
      <c r="I37" s="74"/>
      <c r="J37" s="130"/>
      <c r="K37" s="73"/>
      <c r="L37" s="74"/>
      <c r="M37" s="73"/>
      <c r="N37" s="73"/>
      <c r="O37" s="74"/>
      <c r="P37" s="73"/>
      <c r="Q37" s="73"/>
      <c r="R37" s="74"/>
      <c r="S37" s="73"/>
      <c r="T37" s="73"/>
      <c r="U37" s="74"/>
      <c r="V37" s="73"/>
      <c r="W37" s="73"/>
      <c r="X37" s="74"/>
      <c r="Y37" s="73"/>
      <c r="Z37" s="73"/>
      <c r="AA37" s="74"/>
      <c r="AB37" s="73"/>
      <c r="AC37" s="73"/>
      <c r="AD37" s="68">
        <f t="shared" si="0"/>
        <v>0</v>
      </c>
      <c r="AE37" s="68">
        <f t="shared" si="1"/>
        <v>91</v>
      </c>
      <c r="AF37" s="69">
        <f t="shared" si="2"/>
        <v>0</v>
      </c>
      <c r="AG37" s="92"/>
    </row>
    <row r="38" spans="1:33" ht="16.5" customHeight="1">
      <c r="A38" s="77" t="s">
        <v>235</v>
      </c>
      <c r="B38" s="83" t="s">
        <v>106</v>
      </c>
      <c r="C38" s="78" t="s">
        <v>168</v>
      </c>
      <c r="D38" s="73">
        <f t="shared" si="5"/>
        <v>41821</v>
      </c>
      <c r="E38" s="71">
        <f t="shared" si="5"/>
        <v>41912</v>
      </c>
      <c r="F38" s="72"/>
      <c r="G38" s="130"/>
      <c r="H38" s="73"/>
      <c r="I38" s="74"/>
      <c r="J38" s="130"/>
      <c r="K38" s="73"/>
      <c r="L38" s="74"/>
      <c r="M38" s="73"/>
      <c r="N38" s="73"/>
      <c r="O38" s="74"/>
      <c r="P38" s="73"/>
      <c r="Q38" s="73"/>
      <c r="R38" s="74"/>
      <c r="S38" s="73"/>
      <c r="T38" s="73"/>
      <c r="U38" s="74"/>
      <c r="V38" s="73"/>
      <c r="W38" s="73"/>
      <c r="X38" s="74"/>
      <c r="Y38" s="73"/>
      <c r="Z38" s="73"/>
      <c r="AA38" s="74"/>
      <c r="AB38" s="73"/>
      <c r="AC38" s="73"/>
      <c r="AD38" s="68">
        <f t="shared" si="0"/>
        <v>0</v>
      </c>
      <c r="AE38" s="68">
        <f t="shared" si="1"/>
        <v>91</v>
      </c>
      <c r="AF38" s="69">
        <f t="shared" si="2"/>
        <v>0</v>
      </c>
      <c r="AG38" s="92"/>
    </row>
    <row r="39" spans="1:33" ht="16.5" customHeight="1">
      <c r="A39" s="75"/>
      <c r="B39" s="76"/>
      <c r="C39" s="78"/>
      <c r="D39" s="73"/>
      <c r="E39" s="71"/>
      <c r="F39" s="72"/>
      <c r="G39" s="130"/>
      <c r="H39" s="73"/>
      <c r="I39" s="74"/>
      <c r="J39" s="130"/>
      <c r="K39" s="73"/>
      <c r="L39" s="74"/>
      <c r="M39" s="73"/>
      <c r="N39" s="73"/>
      <c r="O39" s="74"/>
      <c r="P39" s="73"/>
      <c r="Q39" s="73"/>
      <c r="R39" s="74"/>
      <c r="S39" s="73"/>
      <c r="T39" s="73"/>
      <c r="U39" s="74"/>
      <c r="V39" s="73"/>
      <c r="W39" s="73"/>
      <c r="X39" s="74"/>
      <c r="Y39" s="73"/>
      <c r="Z39" s="73"/>
      <c r="AA39" s="74"/>
      <c r="AB39" s="73"/>
      <c r="AC39" s="73"/>
      <c r="AD39" s="68">
        <f t="shared" ref="AD39" si="6">IF(G39&lt;&gt;0,MIN(H39,E39)-MAX(D39,G39),0)+IF(J39&lt;&gt;0,MIN(K39,E39)-MAX(D39,J39),0)+IF(M39&lt;&gt;0,MIN(N39,E39)-MAX(D39,M39),0)+IF(P39&lt;&gt;0,MIN(Q39,E39)-MAX(D39,P39),0)+IF(S39&lt;&gt;0,MIN(T39,E39)-MAX(D39,S39),0)</f>
        <v>0</v>
      </c>
      <c r="AE39" s="68">
        <f t="shared" si="1"/>
        <v>0</v>
      </c>
      <c r="AF39" s="69" t="e">
        <f t="shared" ref="AF39" si="7">AD39/(E39-D39)</f>
        <v>#DIV/0!</v>
      </c>
      <c r="AG39" s="92"/>
    </row>
    <row r="40" spans="1:33" ht="16.5">
      <c r="A40" s="85"/>
      <c r="B40" s="85"/>
      <c r="C40" s="85"/>
      <c r="D40" s="85"/>
      <c r="E40" s="85"/>
      <c r="F40" s="86"/>
      <c r="G40" s="85"/>
      <c r="H40" s="85"/>
      <c r="I40" s="86"/>
      <c r="J40" s="85"/>
      <c r="K40" s="85"/>
      <c r="L40" s="86"/>
      <c r="M40" s="85"/>
      <c r="N40" s="85"/>
      <c r="O40" s="86"/>
      <c r="P40" s="85"/>
      <c r="Q40" s="85"/>
      <c r="R40" s="86"/>
      <c r="S40" s="85"/>
      <c r="T40" s="85"/>
      <c r="U40" s="86"/>
      <c r="V40" s="85"/>
      <c r="W40" s="85"/>
      <c r="X40" s="86"/>
      <c r="Y40" s="85"/>
      <c r="Z40" s="85"/>
      <c r="AA40" s="86"/>
      <c r="AB40" s="85"/>
      <c r="AC40" s="85"/>
    </row>
    <row r="41" spans="1:33" ht="16.5">
      <c r="A41" s="85"/>
      <c r="B41" s="85"/>
      <c r="C41" s="85"/>
      <c r="D41" s="85"/>
      <c r="E41" s="85"/>
      <c r="F41" s="86"/>
      <c r="G41" s="85"/>
      <c r="H41" s="85"/>
      <c r="I41" s="86"/>
      <c r="J41" s="85"/>
      <c r="K41" s="85"/>
      <c r="L41" s="86"/>
      <c r="M41" s="85"/>
      <c r="N41" s="85"/>
      <c r="O41" s="86"/>
      <c r="P41" s="85"/>
      <c r="Q41" s="85"/>
      <c r="R41" s="86"/>
      <c r="S41" s="85"/>
      <c r="T41" s="85"/>
      <c r="U41" s="86"/>
      <c r="V41" s="85"/>
      <c r="W41" s="85"/>
      <c r="X41" s="86"/>
      <c r="Y41" s="85"/>
      <c r="Z41" s="85"/>
      <c r="AA41" s="86"/>
      <c r="AB41" s="85"/>
      <c r="AC41" s="85"/>
    </row>
    <row r="42" spans="1:33" ht="16.5">
      <c r="A42" s="85"/>
      <c r="B42" s="85"/>
      <c r="C42" s="85"/>
      <c r="D42" s="85"/>
      <c r="E42" s="85"/>
      <c r="F42" s="86"/>
      <c r="G42" s="85"/>
      <c r="H42" s="85"/>
      <c r="I42" s="86"/>
      <c r="J42" s="85"/>
      <c r="K42" s="85"/>
      <c r="L42" s="86"/>
      <c r="M42" s="85"/>
      <c r="N42" s="85"/>
      <c r="O42" s="86"/>
      <c r="P42" s="85"/>
      <c r="Q42" s="85"/>
      <c r="R42" s="86"/>
      <c r="S42" s="85"/>
      <c r="T42" s="85"/>
      <c r="U42" s="86"/>
      <c r="V42" s="85"/>
      <c r="W42" s="85"/>
      <c r="X42" s="86"/>
      <c r="Y42" s="85"/>
      <c r="Z42" s="85"/>
      <c r="AA42" s="86"/>
      <c r="AB42" s="85"/>
      <c r="AC42" s="85"/>
    </row>
    <row r="43" spans="1:33" ht="16.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6"/>
      <c r="M43" s="85"/>
      <c r="N43" s="85"/>
      <c r="O43" s="86"/>
      <c r="P43" s="85"/>
      <c r="Q43" s="85"/>
      <c r="R43" s="86"/>
      <c r="S43" s="85"/>
      <c r="T43" s="85"/>
      <c r="U43" s="86"/>
      <c r="V43" s="85"/>
      <c r="W43" s="85"/>
      <c r="X43" s="86"/>
      <c r="Y43" s="85"/>
      <c r="Z43" s="85"/>
      <c r="AA43" s="86"/>
      <c r="AB43" s="85"/>
      <c r="AC43" s="85"/>
    </row>
    <row r="44" spans="1:33" ht="16.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6"/>
      <c r="M44" s="85"/>
      <c r="N44" s="85"/>
      <c r="O44" s="86"/>
      <c r="P44" s="85"/>
      <c r="Q44" s="85"/>
      <c r="R44" s="86"/>
      <c r="S44" s="85"/>
      <c r="T44" s="85"/>
      <c r="U44" s="86"/>
      <c r="V44" s="85"/>
      <c r="W44" s="85"/>
      <c r="X44" s="86"/>
      <c r="Y44" s="85"/>
      <c r="Z44" s="85"/>
      <c r="AA44" s="86"/>
      <c r="AB44" s="85"/>
      <c r="AC44" s="85"/>
    </row>
    <row r="45" spans="1:33" ht="16.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  <c r="M45" s="85"/>
      <c r="N45" s="85"/>
      <c r="O45" s="86"/>
      <c r="P45" s="85"/>
      <c r="Q45" s="85"/>
      <c r="R45" s="86"/>
      <c r="S45" s="85"/>
      <c r="T45" s="85"/>
      <c r="U45" s="86"/>
      <c r="V45" s="85"/>
      <c r="W45" s="85"/>
      <c r="X45" s="86"/>
      <c r="Y45" s="85"/>
      <c r="Z45" s="85"/>
      <c r="AA45" s="86"/>
      <c r="AB45" s="85"/>
      <c r="AC45" s="85"/>
    </row>
    <row r="46" spans="1:33" ht="16.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  <c r="M46" s="85"/>
      <c r="N46" s="85"/>
      <c r="O46" s="86"/>
      <c r="P46" s="85"/>
      <c r="Q46" s="85"/>
      <c r="R46" s="86"/>
      <c r="S46" s="85"/>
      <c r="T46" s="85"/>
      <c r="U46" s="86"/>
      <c r="V46" s="85"/>
      <c r="W46" s="85"/>
      <c r="X46" s="86"/>
      <c r="Y46" s="85"/>
      <c r="Z46" s="85"/>
      <c r="AA46" s="86"/>
      <c r="AB46" s="85"/>
      <c r="AC46" s="85"/>
    </row>
    <row r="47" spans="1:33" ht="16.5">
      <c r="A47" s="85"/>
      <c r="B47" s="85"/>
      <c r="C47" s="85"/>
      <c r="D47" s="85"/>
      <c r="E47" s="85"/>
      <c r="F47" s="86"/>
      <c r="G47" s="85"/>
      <c r="H47" s="85"/>
      <c r="I47" s="86"/>
      <c r="J47" s="85"/>
      <c r="K47" s="85"/>
      <c r="L47" s="86"/>
      <c r="M47" s="85"/>
      <c r="N47" s="85"/>
      <c r="O47" s="86"/>
      <c r="P47" s="85"/>
      <c r="Q47" s="85"/>
      <c r="R47" s="86"/>
      <c r="S47" s="85"/>
      <c r="T47" s="85"/>
      <c r="U47" s="86"/>
      <c r="V47" s="85"/>
      <c r="W47" s="85"/>
      <c r="X47" s="86"/>
      <c r="Y47" s="85"/>
      <c r="Z47" s="85"/>
      <c r="AA47" s="86"/>
      <c r="AB47" s="85"/>
      <c r="AC47" s="85"/>
    </row>
    <row r="48" spans="1:33" ht="16.5">
      <c r="A48" s="85"/>
      <c r="B48" s="85"/>
      <c r="C48" s="85"/>
      <c r="D48" s="85"/>
      <c r="E48" s="85"/>
      <c r="F48" s="86"/>
      <c r="G48" s="85"/>
      <c r="H48" s="85"/>
      <c r="I48" s="86"/>
      <c r="J48" s="85"/>
      <c r="K48" s="85"/>
      <c r="L48" s="86"/>
      <c r="M48" s="85"/>
      <c r="N48" s="85"/>
      <c r="O48" s="86"/>
      <c r="P48" s="85"/>
      <c r="Q48" s="85"/>
      <c r="R48" s="86"/>
      <c r="S48" s="85"/>
      <c r="T48" s="85"/>
      <c r="U48" s="86"/>
      <c r="V48" s="85"/>
      <c r="W48" s="85"/>
      <c r="X48" s="86"/>
      <c r="Y48" s="85"/>
      <c r="Z48" s="85"/>
      <c r="AA48" s="86"/>
      <c r="AB48" s="85"/>
      <c r="AC48" s="85"/>
    </row>
    <row r="49" spans="1:29" ht="16.5">
      <c r="A49" s="85"/>
      <c r="B49" s="85"/>
      <c r="C49" s="85"/>
      <c r="D49" s="85"/>
      <c r="E49" s="85"/>
      <c r="F49" s="86"/>
      <c r="G49" s="85"/>
      <c r="H49" s="85"/>
      <c r="I49" s="86"/>
      <c r="J49" s="85"/>
      <c r="K49" s="85"/>
      <c r="L49" s="86"/>
      <c r="M49" s="85"/>
      <c r="N49" s="85"/>
      <c r="O49" s="86"/>
      <c r="P49" s="85"/>
      <c r="Q49" s="85"/>
      <c r="R49" s="86"/>
      <c r="S49" s="85"/>
      <c r="T49" s="85"/>
      <c r="U49" s="87"/>
      <c r="V49" s="88"/>
      <c r="W49" s="88"/>
      <c r="X49" s="87"/>
      <c r="Y49" s="88"/>
      <c r="Z49" s="88"/>
      <c r="AA49" s="87"/>
      <c r="AB49" s="88"/>
      <c r="AC49" s="88"/>
    </row>
    <row r="50" spans="1:29" ht="16.5">
      <c r="A50" s="85"/>
      <c r="B50" s="85"/>
      <c r="C50" s="85"/>
      <c r="D50" s="85"/>
      <c r="E50" s="85"/>
      <c r="F50" s="86"/>
      <c r="G50" s="85"/>
      <c r="H50" s="85"/>
      <c r="I50" s="86"/>
      <c r="J50" s="85"/>
      <c r="K50" s="85"/>
      <c r="L50" s="86"/>
      <c r="M50" s="85"/>
      <c r="N50" s="85"/>
      <c r="O50" s="86"/>
      <c r="P50" s="85"/>
      <c r="Q50" s="85"/>
      <c r="R50" s="86"/>
      <c r="S50" s="85"/>
      <c r="T50" s="85"/>
      <c r="U50" s="87"/>
      <c r="V50" s="88"/>
      <c r="W50" s="88"/>
      <c r="X50" s="87"/>
      <c r="Y50" s="88"/>
      <c r="Z50" s="88"/>
      <c r="AA50" s="87"/>
      <c r="AB50" s="88"/>
      <c r="AC50" s="88"/>
    </row>
    <row r="51" spans="1:29" ht="16.5">
      <c r="A51" s="85"/>
      <c r="B51" s="85"/>
      <c r="C51" s="85"/>
      <c r="D51" s="85"/>
      <c r="E51" s="85"/>
      <c r="F51" s="86"/>
      <c r="G51" s="85"/>
      <c r="H51" s="85"/>
      <c r="I51" s="86"/>
      <c r="J51" s="85"/>
      <c r="K51" s="85"/>
      <c r="L51" s="86"/>
      <c r="M51" s="85"/>
      <c r="N51" s="85"/>
      <c r="O51" s="86"/>
      <c r="P51" s="85"/>
      <c r="Q51" s="85"/>
      <c r="R51" s="86"/>
      <c r="S51" s="85"/>
      <c r="T51" s="85"/>
      <c r="U51" s="87"/>
      <c r="V51" s="88"/>
      <c r="W51" s="88"/>
      <c r="X51" s="87"/>
      <c r="Y51" s="88"/>
      <c r="Z51" s="88"/>
      <c r="AA51" s="87"/>
      <c r="AB51" s="88"/>
      <c r="AC51" s="88"/>
    </row>
    <row r="52" spans="1:29" ht="16.5">
      <c r="A52" s="85"/>
      <c r="B52" s="85"/>
      <c r="C52" s="85"/>
      <c r="D52" s="85"/>
      <c r="E52" s="85"/>
      <c r="F52" s="86"/>
      <c r="G52" s="85"/>
      <c r="H52" s="85"/>
      <c r="I52" s="86"/>
      <c r="J52" s="85"/>
      <c r="K52" s="85"/>
      <c r="L52" s="86"/>
      <c r="M52" s="85"/>
      <c r="N52" s="85"/>
      <c r="O52" s="86"/>
      <c r="P52" s="85"/>
      <c r="Q52" s="85"/>
      <c r="R52" s="86"/>
      <c r="S52" s="85"/>
      <c r="T52" s="85"/>
      <c r="U52" s="87"/>
      <c r="V52" s="88"/>
      <c r="W52" s="88"/>
      <c r="X52" s="87"/>
      <c r="Y52" s="88"/>
      <c r="Z52" s="88"/>
      <c r="AA52" s="87"/>
      <c r="AB52" s="88"/>
      <c r="AC52" s="88"/>
    </row>
    <row r="53" spans="1:29" ht="16.5">
      <c r="A53" s="85"/>
      <c r="B53" s="85"/>
      <c r="C53" s="85"/>
      <c r="D53" s="85"/>
      <c r="E53" s="85"/>
      <c r="F53" s="86"/>
      <c r="G53" s="85"/>
      <c r="H53" s="85"/>
      <c r="I53" s="86"/>
      <c r="J53" s="85"/>
      <c r="K53" s="85"/>
      <c r="L53" s="86"/>
      <c r="M53" s="85"/>
      <c r="N53" s="85"/>
      <c r="O53" s="86"/>
      <c r="P53" s="85"/>
      <c r="Q53" s="85"/>
      <c r="R53" s="86"/>
      <c r="S53" s="85"/>
      <c r="T53" s="85"/>
      <c r="U53" s="87"/>
      <c r="V53" s="88"/>
      <c r="W53" s="88"/>
      <c r="X53" s="87"/>
      <c r="Y53" s="88"/>
      <c r="Z53" s="88"/>
      <c r="AA53" s="87"/>
      <c r="AB53" s="88"/>
      <c r="AC53" s="88"/>
    </row>
    <row r="54" spans="1:29" ht="16.5">
      <c r="A54" s="85"/>
      <c r="B54" s="85"/>
      <c r="C54" s="85"/>
      <c r="D54" s="85"/>
      <c r="E54" s="85"/>
      <c r="F54" s="86"/>
      <c r="G54" s="85"/>
      <c r="H54" s="85"/>
      <c r="I54" s="86"/>
      <c r="J54" s="85"/>
      <c r="K54" s="85"/>
      <c r="L54" s="86"/>
      <c r="M54" s="85"/>
      <c r="N54" s="85"/>
      <c r="O54" s="86"/>
      <c r="P54" s="85"/>
      <c r="Q54" s="85"/>
      <c r="R54" s="86"/>
      <c r="S54" s="85"/>
      <c r="T54" s="85"/>
      <c r="U54" s="87"/>
      <c r="V54" s="88"/>
      <c r="W54" s="88"/>
      <c r="X54" s="87"/>
      <c r="Y54" s="88"/>
      <c r="Z54" s="88"/>
      <c r="AA54" s="87"/>
      <c r="AB54" s="88"/>
      <c r="AC54" s="88"/>
    </row>
    <row r="55" spans="1:29" ht="16.5">
      <c r="A55" s="85"/>
      <c r="B55" s="85"/>
      <c r="C55" s="85"/>
      <c r="D55" s="85"/>
      <c r="E55" s="85"/>
      <c r="F55" s="86"/>
      <c r="G55" s="85"/>
      <c r="H55" s="85"/>
      <c r="I55" s="86"/>
      <c r="J55" s="85"/>
      <c r="K55" s="85"/>
      <c r="L55" s="86"/>
      <c r="M55" s="85"/>
      <c r="N55" s="85"/>
      <c r="O55" s="86"/>
      <c r="P55" s="85"/>
      <c r="Q55" s="85"/>
      <c r="R55" s="86"/>
      <c r="S55" s="85"/>
      <c r="T55" s="85"/>
      <c r="U55" s="87"/>
      <c r="V55" s="88"/>
      <c r="W55" s="88"/>
      <c r="X55" s="87"/>
      <c r="Y55" s="88"/>
      <c r="Z55" s="88"/>
      <c r="AA55" s="87"/>
      <c r="AB55" s="88"/>
      <c r="AC55" s="88"/>
    </row>
    <row r="56" spans="1:29" ht="16.5">
      <c r="A56" s="85"/>
      <c r="B56" s="85"/>
      <c r="C56" s="85"/>
      <c r="D56" s="85"/>
      <c r="E56" s="85"/>
      <c r="F56" s="86"/>
      <c r="G56" s="85"/>
      <c r="H56" s="85"/>
      <c r="I56" s="86"/>
      <c r="J56" s="85"/>
      <c r="K56" s="85"/>
      <c r="L56" s="86"/>
      <c r="M56" s="85"/>
      <c r="N56" s="85"/>
      <c r="O56" s="86"/>
      <c r="P56" s="85"/>
      <c r="Q56" s="85"/>
      <c r="R56" s="86"/>
      <c r="S56" s="85"/>
      <c r="T56" s="85"/>
      <c r="U56" s="87"/>
      <c r="V56" s="88"/>
      <c r="W56" s="88"/>
      <c r="X56" s="87"/>
      <c r="Y56" s="88"/>
      <c r="Z56" s="88"/>
      <c r="AA56" s="87"/>
      <c r="AB56" s="88"/>
      <c r="AC56" s="88"/>
    </row>
    <row r="57" spans="1:29" ht="16.5">
      <c r="A57" s="85"/>
      <c r="B57" s="85"/>
      <c r="C57" s="85"/>
      <c r="D57" s="85"/>
      <c r="E57" s="85"/>
      <c r="F57" s="86"/>
      <c r="G57" s="85"/>
      <c r="H57" s="85"/>
      <c r="I57" s="86"/>
      <c r="J57" s="85"/>
      <c r="K57" s="85"/>
      <c r="L57" s="86"/>
      <c r="M57" s="85"/>
      <c r="N57" s="85"/>
      <c r="O57" s="86"/>
      <c r="P57" s="85"/>
      <c r="Q57" s="85"/>
      <c r="R57" s="86"/>
      <c r="S57" s="85"/>
      <c r="T57" s="85"/>
      <c r="U57" s="87"/>
      <c r="V57" s="88"/>
      <c r="W57" s="88"/>
      <c r="X57" s="87"/>
      <c r="Y57" s="88"/>
      <c r="Z57" s="88"/>
      <c r="AA57" s="87"/>
      <c r="AB57" s="88"/>
      <c r="AC57" s="88"/>
    </row>
    <row r="58" spans="1:29" ht="16.5">
      <c r="A58" s="85"/>
      <c r="B58" s="85"/>
      <c r="C58" s="85"/>
      <c r="D58" s="85"/>
      <c r="E58" s="85"/>
      <c r="F58" s="86"/>
      <c r="G58" s="85"/>
      <c r="H58" s="85"/>
      <c r="I58" s="86"/>
      <c r="J58" s="85"/>
      <c r="K58" s="85"/>
      <c r="L58" s="86"/>
      <c r="M58" s="85"/>
      <c r="N58" s="85"/>
      <c r="O58" s="86"/>
      <c r="P58" s="85"/>
      <c r="Q58" s="85"/>
      <c r="R58" s="86"/>
      <c r="S58" s="85"/>
      <c r="T58" s="85"/>
      <c r="U58" s="87"/>
      <c r="V58" s="88"/>
      <c r="W58" s="88"/>
      <c r="X58" s="87"/>
      <c r="Y58" s="88"/>
      <c r="Z58" s="88"/>
      <c r="AA58" s="87"/>
      <c r="AB58" s="88"/>
      <c r="AC58" s="88"/>
    </row>
    <row r="59" spans="1:29" ht="16.5">
      <c r="A59" s="85"/>
      <c r="B59" s="85"/>
      <c r="C59" s="85"/>
      <c r="D59" s="85"/>
      <c r="E59" s="85"/>
      <c r="F59" s="86"/>
      <c r="G59" s="85"/>
      <c r="H59" s="85"/>
      <c r="I59" s="86"/>
      <c r="J59" s="85"/>
      <c r="K59" s="85"/>
      <c r="L59" s="86"/>
      <c r="M59" s="85"/>
      <c r="N59" s="85"/>
      <c r="O59" s="86"/>
      <c r="P59" s="85"/>
      <c r="Q59" s="85"/>
      <c r="R59" s="86"/>
      <c r="S59" s="85"/>
      <c r="T59" s="85"/>
      <c r="U59" s="87"/>
      <c r="V59" s="87"/>
      <c r="W59" s="87"/>
      <c r="X59" s="87"/>
      <c r="Y59" s="87"/>
      <c r="Z59" s="87"/>
      <c r="AA59" s="87"/>
      <c r="AB59" s="87"/>
      <c r="AC59" s="87"/>
    </row>
    <row r="60" spans="1:29" ht="16.5">
      <c r="A60" s="85"/>
      <c r="B60" s="85"/>
      <c r="C60" s="85"/>
      <c r="D60" s="85"/>
      <c r="E60" s="85"/>
      <c r="F60" s="86"/>
      <c r="G60" s="85"/>
      <c r="H60" s="85"/>
      <c r="I60" s="86"/>
      <c r="J60" s="85"/>
      <c r="K60" s="85"/>
      <c r="L60" s="86"/>
      <c r="M60" s="85"/>
      <c r="N60" s="85"/>
      <c r="O60" s="86"/>
      <c r="P60" s="85"/>
      <c r="Q60" s="85"/>
      <c r="R60" s="86"/>
      <c r="S60" s="85"/>
      <c r="T60" s="85"/>
      <c r="U60" s="87"/>
      <c r="V60" s="87"/>
      <c r="W60" s="87"/>
      <c r="X60" s="87"/>
      <c r="Y60" s="87"/>
      <c r="Z60" s="87"/>
      <c r="AA60" s="87"/>
      <c r="AB60" s="87"/>
      <c r="AC60" s="87"/>
    </row>
    <row r="61" spans="1:29" ht="16.5">
      <c r="A61" s="85"/>
      <c r="B61" s="85"/>
      <c r="C61" s="85"/>
      <c r="D61" s="85"/>
      <c r="E61" s="85"/>
      <c r="F61" s="86"/>
      <c r="G61" s="85"/>
      <c r="H61" s="85"/>
      <c r="I61" s="86"/>
      <c r="J61" s="85"/>
      <c r="K61" s="85"/>
      <c r="L61" s="86"/>
      <c r="M61" s="85"/>
      <c r="N61" s="85"/>
      <c r="O61" s="86"/>
      <c r="P61" s="85"/>
      <c r="Q61" s="85"/>
      <c r="R61" s="86"/>
      <c r="S61" s="85"/>
      <c r="T61" s="85"/>
      <c r="U61" s="87"/>
      <c r="V61" s="87"/>
      <c r="W61" s="87"/>
      <c r="X61" s="87"/>
      <c r="Y61" s="87"/>
      <c r="Z61" s="87"/>
      <c r="AA61" s="87"/>
      <c r="AB61" s="87"/>
      <c r="AC61" s="87"/>
    </row>
    <row r="62" spans="1:29" ht="16.5">
      <c r="A62" s="85"/>
      <c r="B62" s="85"/>
      <c r="C62" s="85"/>
      <c r="D62" s="85"/>
      <c r="E62" s="85"/>
      <c r="F62" s="86"/>
      <c r="G62" s="85"/>
      <c r="H62" s="85"/>
      <c r="I62" s="86"/>
      <c r="J62" s="85"/>
      <c r="K62" s="85"/>
      <c r="L62" s="86"/>
      <c r="M62" s="85"/>
      <c r="N62" s="85"/>
      <c r="O62" s="86"/>
      <c r="P62" s="85"/>
      <c r="Q62" s="85"/>
      <c r="R62" s="86"/>
      <c r="S62" s="85"/>
      <c r="T62" s="85"/>
      <c r="U62" s="87"/>
      <c r="V62" s="87"/>
      <c r="W62" s="87"/>
      <c r="X62" s="87"/>
      <c r="Y62" s="87"/>
      <c r="Z62" s="87"/>
      <c r="AA62" s="87"/>
      <c r="AB62" s="87"/>
      <c r="AC62" s="87"/>
    </row>
    <row r="63" spans="1:29" ht="16.5">
      <c r="A63" s="85"/>
      <c r="B63" s="85"/>
      <c r="C63" s="85"/>
      <c r="D63" s="85"/>
      <c r="E63" s="85"/>
      <c r="F63" s="86"/>
      <c r="G63" s="85"/>
      <c r="H63" s="85"/>
      <c r="I63" s="86"/>
      <c r="J63" s="85"/>
      <c r="K63" s="85"/>
      <c r="L63" s="86"/>
      <c r="M63" s="85"/>
      <c r="N63" s="85"/>
      <c r="O63" s="86"/>
      <c r="P63" s="85"/>
      <c r="Q63" s="85"/>
      <c r="R63" s="86"/>
      <c r="S63" s="85"/>
      <c r="T63" s="85"/>
      <c r="U63" s="87"/>
      <c r="V63" s="87"/>
      <c r="W63" s="87"/>
      <c r="X63" s="87"/>
      <c r="Y63" s="87"/>
      <c r="Z63" s="87"/>
      <c r="AA63" s="87"/>
      <c r="AB63" s="87"/>
      <c r="AC63" s="87"/>
    </row>
    <row r="64" spans="1:29" ht="16.5">
      <c r="A64" s="85"/>
      <c r="B64" s="85"/>
      <c r="C64" s="85"/>
      <c r="D64" s="85"/>
      <c r="E64" s="85"/>
      <c r="F64" s="86"/>
      <c r="G64" s="85"/>
      <c r="H64" s="85"/>
      <c r="I64" s="86"/>
      <c r="J64" s="85"/>
      <c r="K64" s="85"/>
      <c r="L64" s="86"/>
      <c r="M64" s="85"/>
      <c r="N64" s="85"/>
      <c r="O64" s="86"/>
      <c r="P64" s="85"/>
      <c r="Q64" s="85"/>
      <c r="R64" s="86"/>
      <c r="S64" s="85"/>
      <c r="T64" s="85"/>
      <c r="U64" s="87"/>
      <c r="V64" s="87"/>
      <c r="W64" s="87"/>
      <c r="X64" s="87"/>
      <c r="Y64" s="87"/>
      <c r="Z64" s="87"/>
      <c r="AA64" s="87"/>
      <c r="AB64" s="87"/>
      <c r="AC64" s="87"/>
    </row>
    <row r="65" spans="1:29" ht="16.5">
      <c r="A65" s="85"/>
      <c r="B65" s="85"/>
      <c r="C65" s="85"/>
      <c r="D65" s="85"/>
      <c r="E65" s="85"/>
      <c r="F65" s="86"/>
      <c r="G65" s="85"/>
      <c r="H65" s="85"/>
      <c r="I65" s="86"/>
      <c r="J65" s="85"/>
      <c r="K65" s="85"/>
      <c r="L65" s="86"/>
      <c r="M65" s="85"/>
      <c r="N65" s="85"/>
      <c r="O65" s="86"/>
      <c r="P65" s="85"/>
      <c r="Q65" s="85"/>
      <c r="R65" s="86"/>
      <c r="S65" s="85"/>
      <c r="T65" s="85"/>
      <c r="U65" s="87"/>
      <c r="V65" s="87"/>
      <c r="W65" s="87"/>
      <c r="X65" s="87"/>
      <c r="Y65" s="87"/>
      <c r="Z65" s="87"/>
      <c r="AA65" s="87"/>
      <c r="AB65" s="87"/>
      <c r="AC65" s="87"/>
    </row>
    <row r="66" spans="1:29" ht="16.5">
      <c r="A66" s="85"/>
      <c r="B66" s="85"/>
      <c r="C66" s="85"/>
      <c r="D66" s="85"/>
      <c r="E66" s="85"/>
      <c r="F66" s="86"/>
      <c r="G66" s="85"/>
      <c r="H66" s="85"/>
      <c r="I66" s="86"/>
      <c r="J66" s="85"/>
      <c r="K66" s="85"/>
      <c r="L66" s="86"/>
      <c r="M66" s="85"/>
      <c r="N66" s="85"/>
      <c r="O66" s="86"/>
      <c r="P66" s="85"/>
      <c r="Q66" s="85"/>
      <c r="R66" s="86"/>
      <c r="S66" s="85"/>
      <c r="T66" s="85"/>
      <c r="U66" s="87"/>
      <c r="V66" s="87"/>
      <c r="W66" s="87"/>
      <c r="X66" s="87"/>
      <c r="Y66" s="87"/>
      <c r="Z66" s="87"/>
      <c r="AA66" s="87"/>
      <c r="AB66" s="87"/>
      <c r="AC66" s="87"/>
    </row>
    <row r="67" spans="1:29" ht="16.5">
      <c r="A67" s="85"/>
      <c r="B67" s="85"/>
      <c r="C67" s="85"/>
      <c r="D67" s="85"/>
      <c r="E67" s="85"/>
      <c r="F67" s="86"/>
      <c r="G67" s="85"/>
      <c r="H67" s="85"/>
      <c r="I67" s="86"/>
      <c r="J67" s="85"/>
      <c r="K67" s="85"/>
      <c r="L67" s="86"/>
      <c r="M67" s="85"/>
      <c r="N67" s="85"/>
      <c r="O67" s="86"/>
      <c r="P67" s="85"/>
      <c r="Q67" s="85"/>
      <c r="R67" s="86"/>
      <c r="S67" s="85"/>
      <c r="T67" s="85"/>
      <c r="U67" s="87"/>
      <c r="V67" s="87"/>
      <c r="W67" s="87"/>
      <c r="X67" s="87"/>
      <c r="Y67" s="87"/>
      <c r="Z67" s="87"/>
      <c r="AA67" s="87"/>
      <c r="AB67" s="87"/>
      <c r="AC67" s="87"/>
    </row>
    <row r="68" spans="1:29" ht="16.5">
      <c r="A68" s="85"/>
      <c r="B68" s="85"/>
      <c r="C68" s="85"/>
      <c r="D68" s="85"/>
      <c r="E68" s="85"/>
      <c r="F68" s="86"/>
      <c r="G68" s="85"/>
      <c r="H68" s="85"/>
      <c r="I68" s="86"/>
      <c r="J68" s="85"/>
      <c r="K68" s="85"/>
      <c r="L68" s="86"/>
      <c r="M68" s="85"/>
      <c r="N68" s="85"/>
      <c r="O68" s="86"/>
      <c r="P68" s="85"/>
      <c r="Q68" s="85"/>
      <c r="R68" s="86"/>
      <c r="S68" s="85"/>
      <c r="T68" s="85"/>
      <c r="U68" s="87"/>
      <c r="V68" s="87"/>
      <c r="W68" s="87"/>
      <c r="X68" s="87"/>
      <c r="Y68" s="87"/>
      <c r="Z68" s="87"/>
      <c r="AA68" s="87"/>
      <c r="AB68" s="87"/>
      <c r="AC68" s="87"/>
    </row>
    <row r="69" spans="1:29" ht="16.5">
      <c r="A69" s="85"/>
      <c r="B69" s="85"/>
      <c r="C69" s="85"/>
      <c r="D69" s="85"/>
      <c r="E69" s="85"/>
      <c r="F69" s="86"/>
      <c r="G69" s="85"/>
      <c r="H69" s="85"/>
      <c r="I69" s="86"/>
      <c r="J69" s="85"/>
      <c r="K69" s="85"/>
      <c r="L69" s="86"/>
      <c r="M69" s="85"/>
      <c r="N69" s="85"/>
      <c r="O69" s="86"/>
      <c r="P69" s="85"/>
      <c r="Q69" s="85"/>
      <c r="R69" s="86"/>
      <c r="S69" s="85"/>
      <c r="T69" s="85"/>
      <c r="U69" s="87"/>
      <c r="V69" s="87"/>
      <c r="W69" s="87"/>
      <c r="X69" s="87"/>
      <c r="Y69" s="87"/>
      <c r="Z69" s="87"/>
      <c r="AA69" s="87"/>
      <c r="AB69" s="87"/>
      <c r="AC69" s="87"/>
    </row>
    <row r="70" spans="1:29" ht="16.5">
      <c r="A70" s="85"/>
      <c r="B70" s="85"/>
      <c r="C70" s="85"/>
      <c r="D70" s="85"/>
      <c r="E70" s="85"/>
      <c r="F70" s="86"/>
      <c r="G70" s="85"/>
      <c r="H70" s="85"/>
      <c r="I70" s="86"/>
      <c r="J70" s="85"/>
      <c r="K70" s="85"/>
      <c r="L70" s="86"/>
      <c r="M70" s="85"/>
      <c r="N70" s="85"/>
      <c r="O70" s="86"/>
      <c r="P70" s="85"/>
      <c r="Q70" s="85"/>
      <c r="R70" s="86"/>
      <c r="S70" s="85"/>
      <c r="T70" s="85"/>
      <c r="U70" s="87"/>
      <c r="V70" s="87"/>
      <c r="W70" s="87"/>
      <c r="X70" s="87"/>
      <c r="Y70" s="87"/>
      <c r="Z70" s="87"/>
      <c r="AA70" s="87"/>
      <c r="AB70" s="87"/>
      <c r="AC70" s="87"/>
    </row>
    <row r="71" spans="1:29" ht="16.5">
      <c r="A71" s="85"/>
      <c r="B71" s="85"/>
      <c r="C71" s="85"/>
      <c r="D71" s="85"/>
      <c r="E71" s="85"/>
      <c r="F71" s="86"/>
      <c r="G71" s="85"/>
      <c r="H71" s="85"/>
      <c r="I71" s="86"/>
      <c r="J71" s="85"/>
      <c r="K71" s="85"/>
      <c r="L71" s="86"/>
      <c r="M71" s="85"/>
      <c r="N71" s="85"/>
      <c r="O71" s="86"/>
      <c r="P71" s="85"/>
      <c r="Q71" s="85"/>
      <c r="R71" s="86"/>
      <c r="S71" s="85"/>
      <c r="T71" s="85"/>
      <c r="U71" s="87"/>
      <c r="V71" s="87"/>
      <c r="W71" s="87"/>
      <c r="X71" s="87"/>
      <c r="Y71" s="87"/>
      <c r="Z71" s="87"/>
      <c r="AA71" s="87"/>
      <c r="AB71" s="87"/>
      <c r="AC71" s="87"/>
    </row>
    <row r="72" spans="1:29" ht="16.5">
      <c r="A72" s="85"/>
      <c r="B72" s="85"/>
      <c r="C72" s="85"/>
      <c r="D72" s="85"/>
      <c r="E72" s="85"/>
      <c r="F72" s="86"/>
      <c r="G72" s="85"/>
      <c r="H72" s="85"/>
      <c r="I72" s="86"/>
      <c r="J72" s="85"/>
      <c r="K72" s="85"/>
      <c r="L72" s="86"/>
      <c r="M72" s="85"/>
      <c r="N72" s="85"/>
      <c r="O72" s="86"/>
      <c r="P72" s="85"/>
      <c r="Q72" s="85"/>
      <c r="R72" s="86"/>
      <c r="S72" s="85"/>
      <c r="T72" s="85"/>
      <c r="U72" s="87"/>
      <c r="V72" s="87"/>
      <c r="W72" s="87"/>
      <c r="X72" s="87"/>
      <c r="Y72" s="87"/>
      <c r="Z72" s="87"/>
      <c r="AA72" s="87"/>
      <c r="AB72" s="87"/>
      <c r="AC72" s="87"/>
    </row>
    <row r="73" spans="1:29" ht="16.5">
      <c r="A73" s="85"/>
      <c r="B73" s="85"/>
      <c r="C73" s="85"/>
      <c r="D73" s="85"/>
      <c r="E73" s="85"/>
      <c r="F73" s="86"/>
      <c r="G73" s="85"/>
      <c r="H73" s="85"/>
      <c r="I73" s="86"/>
      <c r="J73" s="85"/>
      <c r="K73" s="85"/>
      <c r="L73" s="86"/>
      <c r="M73" s="85"/>
      <c r="N73" s="85"/>
      <c r="O73" s="86"/>
      <c r="P73" s="85"/>
      <c r="Q73" s="85"/>
      <c r="R73" s="86"/>
      <c r="S73" s="85"/>
      <c r="T73" s="85"/>
      <c r="U73" s="87"/>
      <c r="V73" s="87"/>
      <c r="W73" s="87"/>
      <c r="X73" s="87"/>
      <c r="Y73" s="87"/>
      <c r="Z73" s="87"/>
      <c r="AA73" s="87"/>
      <c r="AB73" s="87"/>
      <c r="AC73" s="87"/>
    </row>
    <row r="74" spans="1:29" ht="16.5">
      <c r="A74" s="85"/>
      <c r="B74" s="85"/>
      <c r="C74" s="85"/>
      <c r="D74" s="85"/>
      <c r="E74" s="85"/>
      <c r="F74" s="86"/>
      <c r="G74" s="85"/>
      <c r="H74" s="85"/>
      <c r="I74" s="86"/>
      <c r="J74" s="85"/>
      <c r="K74" s="85"/>
      <c r="L74" s="86"/>
      <c r="M74" s="85"/>
      <c r="N74" s="85"/>
      <c r="O74" s="86"/>
      <c r="P74" s="85"/>
      <c r="Q74" s="85"/>
      <c r="R74" s="86"/>
      <c r="S74" s="85"/>
      <c r="T74" s="85"/>
      <c r="U74" s="87"/>
      <c r="V74" s="87"/>
      <c r="W74" s="87"/>
      <c r="X74" s="87"/>
      <c r="Y74" s="87"/>
      <c r="Z74" s="87"/>
      <c r="AA74" s="87"/>
      <c r="AB74" s="87"/>
      <c r="AC74" s="87"/>
    </row>
    <row r="75" spans="1:29" ht="16.5">
      <c r="A75" s="85"/>
      <c r="B75" s="85"/>
      <c r="C75" s="85"/>
      <c r="D75" s="85"/>
      <c r="E75" s="85"/>
      <c r="F75" s="86"/>
      <c r="G75" s="85"/>
      <c r="H75" s="85"/>
      <c r="I75" s="86"/>
      <c r="J75" s="85"/>
      <c r="K75" s="85"/>
      <c r="L75" s="86"/>
      <c r="M75" s="85"/>
      <c r="N75" s="85"/>
      <c r="O75" s="86"/>
      <c r="P75" s="85"/>
      <c r="Q75" s="85"/>
      <c r="R75" s="86"/>
      <c r="S75" s="85"/>
      <c r="T75" s="85"/>
      <c r="U75" s="87"/>
      <c r="V75" s="87"/>
      <c r="W75" s="87"/>
      <c r="X75" s="87"/>
      <c r="Y75" s="87"/>
      <c r="Z75" s="87"/>
      <c r="AA75" s="87"/>
      <c r="AB75" s="87"/>
      <c r="AC75" s="87"/>
    </row>
    <row r="76" spans="1:29" ht="16.5">
      <c r="A76" s="85"/>
      <c r="B76" s="85"/>
      <c r="C76" s="85"/>
      <c r="D76" s="85"/>
      <c r="E76" s="85"/>
      <c r="F76" s="86"/>
      <c r="G76" s="85"/>
      <c r="H76" s="85"/>
      <c r="I76" s="86"/>
      <c r="J76" s="85"/>
      <c r="K76" s="85"/>
      <c r="L76" s="86"/>
      <c r="M76" s="85"/>
      <c r="N76" s="85"/>
      <c r="O76" s="86"/>
      <c r="P76" s="85"/>
      <c r="Q76" s="85"/>
      <c r="R76" s="86"/>
      <c r="S76" s="85"/>
      <c r="T76" s="85"/>
      <c r="U76" s="87"/>
      <c r="V76" s="87"/>
      <c r="W76" s="87"/>
      <c r="X76" s="87"/>
      <c r="Y76" s="87"/>
      <c r="Z76" s="87"/>
      <c r="AA76" s="87"/>
      <c r="AB76" s="87"/>
      <c r="AC76" s="87"/>
    </row>
    <row r="77" spans="1:29" ht="16.5">
      <c r="A77" s="85"/>
      <c r="B77" s="85"/>
      <c r="C77" s="85"/>
      <c r="D77" s="85"/>
      <c r="E77" s="85"/>
      <c r="F77" s="86"/>
      <c r="G77" s="85"/>
      <c r="H77" s="85"/>
      <c r="I77" s="86"/>
      <c r="J77" s="85"/>
      <c r="K77" s="85"/>
      <c r="L77" s="86"/>
      <c r="M77" s="85"/>
      <c r="N77" s="85"/>
      <c r="O77" s="86"/>
      <c r="P77" s="85"/>
      <c r="Q77" s="85"/>
      <c r="R77" s="86"/>
      <c r="S77" s="85"/>
      <c r="T77" s="85"/>
      <c r="U77" s="87"/>
      <c r="V77" s="87"/>
      <c r="W77" s="87"/>
      <c r="X77" s="87"/>
      <c r="Y77" s="87"/>
      <c r="Z77" s="87"/>
      <c r="AA77" s="87"/>
      <c r="AB77" s="87"/>
      <c r="AC77" s="87"/>
    </row>
    <row r="78" spans="1:29" ht="16.5">
      <c r="A78" s="85"/>
      <c r="B78" s="85"/>
      <c r="C78" s="85"/>
      <c r="D78" s="85"/>
      <c r="E78" s="85"/>
      <c r="F78" s="86"/>
      <c r="G78" s="85"/>
      <c r="H78" s="85"/>
      <c r="I78" s="86"/>
      <c r="J78" s="85"/>
      <c r="K78" s="85"/>
      <c r="L78" s="86"/>
      <c r="M78" s="85"/>
      <c r="N78" s="85"/>
      <c r="O78" s="86"/>
      <c r="P78" s="85"/>
      <c r="Q78" s="85"/>
      <c r="R78" s="86"/>
      <c r="S78" s="85"/>
      <c r="T78" s="85"/>
      <c r="U78" s="87"/>
      <c r="V78" s="87"/>
      <c r="W78" s="87"/>
      <c r="X78" s="87"/>
      <c r="Y78" s="87"/>
      <c r="Z78" s="87"/>
      <c r="AA78" s="87"/>
      <c r="AB78" s="87"/>
      <c r="AC78" s="87"/>
    </row>
    <row r="79" spans="1:29" ht="16.5">
      <c r="A79" s="85"/>
      <c r="B79" s="85"/>
      <c r="C79" s="85"/>
      <c r="D79" s="85"/>
      <c r="E79" s="85"/>
      <c r="F79" s="86"/>
      <c r="G79" s="85"/>
      <c r="H79" s="85"/>
      <c r="I79" s="86"/>
      <c r="J79" s="85"/>
      <c r="K79" s="85"/>
      <c r="L79" s="86"/>
      <c r="M79" s="85"/>
      <c r="N79" s="85"/>
      <c r="O79" s="86"/>
      <c r="P79" s="85"/>
      <c r="Q79" s="85"/>
      <c r="R79" s="86"/>
      <c r="S79" s="85"/>
      <c r="T79" s="85"/>
      <c r="U79" s="87"/>
      <c r="V79" s="87"/>
      <c r="W79" s="87"/>
      <c r="X79" s="87"/>
      <c r="Y79" s="87"/>
      <c r="Z79" s="87"/>
      <c r="AA79" s="87"/>
      <c r="AB79" s="87"/>
      <c r="AC79" s="87"/>
    </row>
    <row r="80" spans="1:29" ht="16.5">
      <c r="A80" s="85"/>
      <c r="B80" s="85"/>
      <c r="C80" s="85"/>
      <c r="D80" s="85"/>
      <c r="E80" s="85"/>
      <c r="F80" s="86"/>
      <c r="G80" s="85"/>
      <c r="H80" s="85"/>
      <c r="I80" s="86"/>
      <c r="J80" s="85"/>
      <c r="K80" s="85"/>
      <c r="L80" s="86"/>
      <c r="M80" s="85"/>
      <c r="N80" s="85"/>
      <c r="O80" s="86"/>
      <c r="P80" s="85"/>
      <c r="Q80" s="85"/>
      <c r="R80" s="86"/>
      <c r="S80" s="85"/>
      <c r="T80" s="85"/>
      <c r="U80" s="87"/>
      <c r="V80" s="87"/>
      <c r="W80" s="87"/>
      <c r="X80" s="87"/>
      <c r="Y80" s="87"/>
      <c r="Z80" s="87"/>
      <c r="AA80" s="87"/>
      <c r="AB80" s="87"/>
      <c r="AC80" s="87"/>
    </row>
    <row r="81" spans="1:29" ht="16.5">
      <c r="A81" s="85"/>
      <c r="B81" s="85"/>
      <c r="C81" s="85"/>
      <c r="D81" s="85"/>
      <c r="E81" s="85"/>
      <c r="F81" s="86"/>
      <c r="G81" s="85"/>
      <c r="H81" s="85"/>
      <c r="I81" s="86"/>
      <c r="J81" s="85"/>
      <c r="K81" s="85"/>
      <c r="L81" s="86"/>
      <c r="M81" s="85"/>
      <c r="N81" s="85"/>
      <c r="O81" s="86"/>
      <c r="P81" s="85"/>
      <c r="Q81" s="85"/>
      <c r="R81" s="86"/>
      <c r="S81" s="85"/>
      <c r="T81" s="85"/>
      <c r="U81" s="87"/>
      <c r="V81" s="87"/>
      <c r="W81" s="87"/>
      <c r="X81" s="87"/>
      <c r="Y81" s="87"/>
      <c r="Z81" s="87"/>
      <c r="AA81" s="87"/>
      <c r="AB81" s="87"/>
      <c r="AC81" s="87"/>
    </row>
    <row r="82" spans="1:29" ht="16.5">
      <c r="A82" s="85"/>
      <c r="B82" s="85"/>
      <c r="C82" s="85"/>
      <c r="D82" s="85"/>
      <c r="E82" s="85"/>
      <c r="F82" s="86"/>
      <c r="G82" s="85"/>
      <c r="H82" s="85"/>
      <c r="I82" s="86"/>
      <c r="J82" s="85"/>
      <c r="K82" s="85"/>
      <c r="L82" s="86"/>
      <c r="M82" s="85"/>
      <c r="N82" s="85"/>
      <c r="O82" s="86"/>
      <c r="P82" s="85"/>
      <c r="Q82" s="85"/>
      <c r="R82" s="86"/>
      <c r="S82" s="85"/>
      <c r="T82" s="85"/>
      <c r="U82" s="87"/>
      <c r="V82" s="87"/>
      <c r="W82" s="87"/>
      <c r="X82" s="87"/>
      <c r="Y82" s="87"/>
      <c r="Z82" s="87"/>
      <c r="AA82" s="87"/>
      <c r="AB82" s="87"/>
      <c r="AC82" s="87"/>
    </row>
    <row r="83" spans="1:29" ht="16.5">
      <c r="A83" s="85"/>
      <c r="B83" s="85"/>
      <c r="C83" s="85"/>
      <c r="D83" s="85"/>
      <c r="E83" s="85"/>
      <c r="F83" s="86"/>
      <c r="G83" s="85"/>
      <c r="H83" s="85"/>
      <c r="I83" s="86"/>
      <c r="J83" s="85"/>
      <c r="K83" s="85"/>
      <c r="L83" s="86"/>
      <c r="M83" s="85"/>
      <c r="N83" s="85"/>
      <c r="O83" s="86"/>
      <c r="P83" s="85"/>
      <c r="Q83" s="85"/>
      <c r="R83" s="86"/>
      <c r="S83" s="85"/>
      <c r="T83" s="85"/>
      <c r="U83" s="87"/>
      <c r="V83" s="87"/>
      <c r="W83" s="87"/>
      <c r="X83" s="87"/>
      <c r="Y83" s="87"/>
      <c r="Z83" s="87"/>
      <c r="AA83" s="87"/>
      <c r="AB83" s="87"/>
      <c r="AC83" s="87"/>
    </row>
    <row r="84" spans="1:29" ht="16.5">
      <c r="A84" s="85"/>
      <c r="B84" s="85"/>
      <c r="C84" s="85"/>
      <c r="D84" s="85"/>
      <c r="E84" s="85"/>
      <c r="F84" s="86"/>
      <c r="G84" s="85"/>
      <c r="H84" s="85"/>
      <c r="I84" s="86"/>
      <c r="J84" s="85"/>
      <c r="K84" s="85"/>
      <c r="L84" s="86"/>
      <c r="M84" s="85"/>
      <c r="N84" s="85"/>
      <c r="O84" s="86"/>
      <c r="P84" s="85"/>
      <c r="Q84" s="85"/>
      <c r="R84" s="86"/>
      <c r="S84" s="85"/>
      <c r="T84" s="85"/>
      <c r="U84" s="87"/>
      <c r="V84" s="87"/>
      <c r="W84" s="87"/>
      <c r="X84" s="87"/>
      <c r="Y84" s="87"/>
      <c r="Z84" s="87"/>
      <c r="AA84" s="87"/>
      <c r="AB84" s="87"/>
      <c r="AC84" s="87"/>
    </row>
    <row r="85" spans="1:29" ht="16.5">
      <c r="A85" s="85"/>
      <c r="B85" s="85"/>
      <c r="C85" s="85"/>
      <c r="D85" s="85"/>
      <c r="E85" s="85"/>
      <c r="F85" s="86"/>
      <c r="G85" s="85"/>
      <c r="H85" s="85"/>
      <c r="I85" s="86"/>
      <c r="J85" s="85"/>
      <c r="K85" s="85"/>
      <c r="L85" s="86"/>
      <c r="M85" s="85"/>
      <c r="N85" s="85"/>
      <c r="O85" s="86"/>
      <c r="P85" s="85"/>
      <c r="Q85" s="85"/>
      <c r="R85" s="86"/>
      <c r="S85" s="85"/>
      <c r="T85" s="85"/>
      <c r="U85" s="87"/>
      <c r="V85" s="87"/>
      <c r="W85" s="87"/>
      <c r="X85" s="87"/>
      <c r="Y85" s="87"/>
      <c r="Z85" s="87"/>
      <c r="AA85" s="87"/>
      <c r="AB85" s="87"/>
      <c r="AC85" s="87"/>
    </row>
    <row r="86" spans="1:29" ht="16.5">
      <c r="A86" s="85"/>
      <c r="B86" s="85"/>
      <c r="C86" s="85"/>
      <c r="D86" s="85"/>
      <c r="E86" s="85"/>
      <c r="F86" s="86"/>
      <c r="G86" s="85"/>
      <c r="H86" s="85"/>
      <c r="I86" s="86"/>
      <c r="J86" s="85"/>
      <c r="K86" s="85"/>
      <c r="L86" s="86"/>
      <c r="M86" s="85"/>
      <c r="N86" s="85"/>
      <c r="O86" s="86"/>
      <c r="P86" s="85"/>
      <c r="Q86" s="85"/>
      <c r="R86" s="86"/>
      <c r="S86" s="85"/>
      <c r="T86" s="85"/>
      <c r="U86" s="87"/>
      <c r="V86" s="87"/>
      <c r="W86" s="87"/>
      <c r="X86" s="87"/>
      <c r="Y86" s="87"/>
      <c r="Z86" s="87"/>
      <c r="AA86" s="87"/>
      <c r="AB86" s="87"/>
      <c r="AC86" s="87"/>
    </row>
    <row r="87" spans="1:29" ht="16.5">
      <c r="A87" s="85"/>
      <c r="B87" s="85"/>
      <c r="C87" s="85"/>
      <c r="D87" s="85"/>
      <c r="E87" s="85"/>
      <c r="F87" s="86"/>
      <c r="G87" s="85"/>
      <c r="H87" s="85"/>
      <c r="I87" s="86"/>
      <c r="J87" s="85"/>
      <c r="K87" s="85"/>
      <c r="L87" s="86"/>
      <c r="M87" s="85"/>
      <c r="N87" s="85"/>
      <c r="O87" s="86"/>
      <c r="P87" s="85"/>
      <c r="Q87" s="85"/>
      <c r="R87" s="86"/>
      <c r="S87" s="85"/>
      <c r="T87" s="85"/>
      <c r="U87" s="87"/>
      <c r="V87" s="87"/>
      <c r="W87" s="87"/>
      <c r="X87" s="87"/>
      <c r="Y87" s="87"/>
      <c r="Z87" s="87"/>
      <c r="AA87" s="87"/>
      <c r="AB87" s="87"/>
      <c r="AC87" s="87"/>
    </row>
    <row r="88" spans="1:29" ht="16.5">
      <c r="A88" s="85"/>
      <c r="B88" s="85"/>
      <c r="C88" s="85"/>
      <c r="D88" s="85"/>
      <c r="E88" s="85"/>
      <c r="F88" s="86"/>
      <c r="G88" s="85"/>
      <c r="H88" s="85"/>
      <c r="I88" s="86"/>
      <c r="J88" s="85"/>
      <c r="K88" s="85"/>
      <c r="L88" s="86"/>
      <c r="M88" s="85"/>
      <c r="N88" s="85"/>
      <c r="O88" s="86"/>
      <c r="P88" s="85"/>
      <c r="Q88" s="85"/>
      <c r="R88" s="86"/>
      <c r="S88" s="85"/>
      <c r="T88" s="85"/>
      <c r="U88" s="87"/>
      <c r="V88" s="87"/>
      <c r="W88" s="87"/>
      <c r="X88" s="87"/>
      <c r="Y88" s="87"/>
      <c r="Z88" s="87"/>
      <c r="AA88" s="87"/>
      <c r="AB88" s="87"/>
      <c r="AC88" s="87"/>
    </row>
    <row r="89" spans="1:29" ht="16.5">
      <c r="A89" s="85"/>
      <c r="B89" s="85"/>
      <c r="C89" s="85"/>
      <c r="D89" s="85"/>
      <c r="E89" s="85"/>
      <c r="F89" s="86"/>
      <c r="G89" s="85"/>
      <c r="H89" s="85"/>
      <c r="I89" s="86"/>
      <c r="J89" s="85"/>
      <c r="K89" s="85"/>
      <c r="L89" s="86"/>
      <c r="M89" s="85"/>
      <c r="N89" s="85"/>
      <c r="O89" s="86"/>
      <c r="P89" s="85"/>
      <c r="Q89" s="85"/>
      <c r="R89" s="86"/>
      <c r="S89" s="85"/>
      <c r="T89" s="85"/>
      <c r="U89" s="87"/>
      <c r="V89" s="87"/>
      <c r="W89" s="87"/>
      <c r="X89" s="87"/>
      <c r="Y89" s="87"/>
      <c r="Z89" s="87"/>
      <c r="AA89" s="87"/>
      <c r="AB89" s="87"/>
      <c r="AC89" s="87"/>
    </row>
    <row r="90" spans="1:29" ht="16.5">
      <c r="A90" s="85"/>
      <c r="B90" s="85"/>
      <c r="C90" s="85"/>
      <c r="D90" s="85"/>
      <c r="E90" s="85"/>
      <c r="F90" s="86"/>
      <c r="G90" s="85"/>
      <c r="H90" s="85"/>
      <c r="I90" s="86"/>
      <c r="J90" s="85"/>
      <c r="K90" s="85"/>
      <c r="L90" s="86"/>
      <c r="M90" s="85"/>
      <c r="N90" s="85"/>
      <c r="O90" s="86"/>
      <c r="P90" s="85"/>
      <c r="Q90" s="85"/>
      <c r="R90" s="86"/>
      <c r="S90" s="85"/>
      <c r="T90" s="85"/>
      <c r="U90" s="87"/>
      <c r="V90" s="87"/>
      <c r="W90" s="87"/>
      <c r="X90" s="87"/>
      <c r="Y90" s="87"/>
      <c r="Z90" s="87"/>
      <c r="AA90" s="87"/>
      <c r="AB90" s="87"/>
      <c r="AC90" s="87"/>
    </row>
    <row r="91" spans="1:29" ht="16.5">
      <c r="A91" s="85"/>
      <c r="B91" s="85"/>
      <c r="C91" s="85"/>
      <c r="D91" s="85"/>
      <c r="E91" s="85"/>
      <c r="F91" s="86"/>
      <c r="G91" s="85"/>
      <c r="H91" s="85"/>
      <c r="I91" s="86"/>
      <c r="J91" s="85"/>
      <c r="K91" s="85"/>
      <c r="L91" s="86"/>
      <c r="M91" s="85"/>
      <c r="N91" s="85"/>
      <c r="O91" s="86"/>
      <c r="P91" s="85"/>
      <c r="Q91" s="85"/>
      <c r="R91" s="86"/>
      <c r="S91" s="85"/>
      <c r="T91" s="85"/>
      <c r="U91" s="87"/>
      <c r="V91" s="87"/>
      <c r="W91" s="87"/>
      <c r="X91" s="87"/>
      <c r="Y91" s="87"/>
      <c r="Z91" s="87"/>
      <c r="AA91" s="87"/>
      <c r="AB91" s="87"/>
      <c r="AC91" s="87"/>
    </row>
    <row r="92" spans="1:29" ht="16.5">
      <c r="A92" s="85"/>
      <c r="B92" s="85"/>
      <c r="C92" s="85"/>
      <c r="D92" s="85"/>
      <c r="E92" s="85"/>
      <c r="F92" s="86"/>
      <c r="G92" s="85"/>
      <c r="H92" s="85"/>
      <c r="I92" s="86"/>
      <c r="J92" s="85"/>
      <c r="K92" s="85"/>
      <c r="L92" s="86"/>
      <c r="M92" s="85"/>
      <c r="N92" s="85"/>
      <c r="O92" s="86"/>
      <c r="P92" s="85"/>
      <c r="Q92" s="85"/>
      <c r="R92" s="86"/>
      <c r="S92" s="85"/>
      <c r="T92" s="85"/>
      <c r="U92" s="87"/>
      <c r="V92" s="87"/>
      <c r="W92" s="87"/>
      <c r="X92" s="87"/>
      <c r="Y92" s="87"/>
      <c r="Z92" s="87"/>
      <c r="AA92" s="87"/>
      <c r="AB92" s="87"/>
      <c r="AC92" s="87"/>
    </row>
    <row r="93" spans="1:29" ht="16.5">
      <c r="A93" s="85"/>
      <c r="B93" s="85"/>
      <c r="C93" s="85"/>
      <c r="D93" s="85"/>
      <c r="E93" s="85"/>
      <c r="F93" s="86"/>
      <c r="G93" s="85"/>
      <c r="H93" s="85"/>
      <c r="I93" s="86"/>
      <c r="J93" s="85"/>
      <c r="K93" s="85"/>
      <c r="L93" s="86"/>
      <c r="M93" s="85"/>
      <c r="N93" s="85"/>
      <c r="O93" s="86"/>
      <c r="P93" s="85"/>
      <c r="Q93" s="85"/>
      <c r="R93" s="86"/>
      <c r="S93" s="85"/>
      <c r="T93" s="85"/>
      <c r="U93" s="87"/>
      <c r="V93" s="87"/>
      <c r="W93" s="87"/>
      <c r="X93" s="87"/>
      <c r="Y93" s="87"/>
      <c r="Z93" s="87"/>
      <c r="AA93" s="87"/>
      <c r="AB93" s="87"/>
      <c r="AC93" s="87"/>
    </row>
    <row r="94" spans="1:29" ht="16.5">
      <c r="A94" s="85"/>
      <c r="B94" s="85"/>
      <c r="C94" s="85"/>
      <c r="D94" s="85"/>
      <c r="E94" s="85"/>
      <c r="F94" s="86"/>
      <c r="G94" s="85"/>
      <c r="H94" s="85"/>
      <c r="I94" s="86"/>
      <c r="J94" s="85"/>
      <c r="K94" s="85"/>
      <c r="L94" s="86"/>
      <c r="M94" s="85"/>
      <c r="N94" s="85"/>
      <c r="O94" s="86"/>
      <c r="P94" s="85"/>
      <c r="Q94" s="85"/>
      <c r="R94" s="86"/>
      <c r="S94" s="85"/>
      <c r="T94" s="85"/>
      <c r="U94" s="87"/>
      <c r="V94" s="87"/>
      <c r="W94" s="87"/>
      <c r="X94" s="87"/>
      <c r="Y94" s="87"/>
      <c r="Z94" s="87"/>
      <c r="AA94" s="87"/>
      <c r="AB94" s="87"/>
      <c r="AC94" s="87"/>
    </row>
  </sheetData>
  <mergeCells count="1">
    <mergeCell ref="B1:AC1"/>
  </mergeCells>
  <phoneticPr fontId="13" type="noConversion"/>
  <conditionalFormatting sqref="U83:AC94">
    <cfRule type="dataBar" priority="1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{91ADB7FA-9863-432C-9179-ABD1158225DD}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生成表格">
                <anchor moveWithCells="1" sizeWithCells="1">
                  <from>
                    <xdr:col>6</xdr:col>
                    <xdr:colOff>28575</xdr:colOff>
                    <xdr:row>2</xdr:row>
                    <xdr:rowOff>9525</xdr:rowOff>
                  </from>
                  <to>
                    <xdr:col>6</xdr:col>
                    <xdr:colOff>733425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清除图表">
                <anchor moveWithCells="1" sizeWithCells="1">
                  <from>
                    <xdr:col>7</xdr:col>
                    <xdr:colOff>47625</xdr:colOff>
                    <xdr:row>2</xdr:row>
                    <xdr:rowOff>9525</xdr:rowOff>
                  </from>
                  <to>
                    <xdr:col>7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ADB7FA-9863-432C-9179-ABD1158225DD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U83:AC94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8"/>
  <sheetViews>
    <sheetView topLeftCell="A16" zoomScaleNormal="100" workbookViewId="0">
      <pane xSplit="1" topLeftCell="D1" activePane="topRight" state="frozen"/>
      <selection pane="topRight" activeCell="F18" sqref="F18"/>
    </sheetView>
  </sheetViews>
  <sheetFormatPr defaultRowHeight="13.5"/>
  <cols>
    <col min="1" max="1" width="21.625" style="15" bestFit="1" customWidth="1"/>
    <col min="2" max="2" width="9.25" style="15" bestFit="1" customWidth="1"/>
    <col min="3" max="3" width="5.5" style="15" bestFit="1" customWidth="1"/>
    <col min="4" max="5" width="9.25" style="15" bestFit="1" customWidth="1"/>
    <col min="6" max="6" width="8.375" style="15" bestFit="1" customWidth="1"/>
    <col min="7" max="7" width="50.625" style="15" customWidth="1"/>
    <col min="8" max="9" width="30.625" style="15" customWidth="1"/>
    <col min="10" max="10" width="11.25" style="15" bestFit="1" customWidth="1"/>
    <col min="11" max="11" width="11.25" style="15" customWidth="1"/>
    <col min="12" max="12" width="11.25" style="15" bestFit="1" customWidth="1"/>
    <col min="13" max="13" width="9.625" style="15" bestFit="1" customWidth="1"/>
    <col min="14" max="14" width="32.125" style="15" bestFit="1" customWidth="1"/>
    <col min="15" max="16384" width="9" style="15"/>
  </cols>
  <sheetData>
    <row r="1" spans="1:14" ht="34.5" customHeight="1">
      <c r="A1" s="99"/>
      <c r="B1" s="271" t="s">
        <v>127</v>
      </c>
      <c r="C1" s="271"/>
      <c r="D1" s="271"/>
      <c r="E1" s="271"/>
      <c r="F1" s="271"/>
      <c r="G1" s="271"/>
      <c r="H1" s="271"/>
      <c r="I1" s="271"/>
      <c r="J1" s="100"/>
      <c r="K1" s="100"/>
      <c r="L1" s="100"/>
      <c r="M1" s="100"/>
      <c r="N1" s="101"/>
    </row>
    <row r="2" spans="1:14" ht="30">
      <c r="A2" s="124" t="s">
        <v>49</v>
      </c>
      <c r="B2" s="124" t="s">
        <v>50</v>
      </c>
      <c r="C2" s="124" t="s">
        <v>227</v>
      </c>
      <c r="D2" s="124" t="s">
        <v>51</v>
      </c>
      <c r="E2" s="124" t="s">
        <v>52</v>
      </c>
      <c r="F2" s="124" t="s">
        <v>53</v>
      </c>
      <c r="G2" s="125" t="s">
        <v>54</v>
      </c>
      <c r="H2" s="125" t="s">
        <v>55</v>
      </c>
      <c r="I2" s="125" t="s">
        <v>56</v>
      </c>
      <c r="J2" s="124" t="s">
        <v>135</v>
      </c>
      <c r="K2" s="124" t="s">
        <v>140</v>
      </c>
      <c r="L2" s="124" t="s">
        <v>57</v>
      </c>
      <c r="M2" s="124" t="s">
        <v>58</v>
      </c>
      <c r="N2" s="125" t="s">
        <v>59</v>
      </c>
    </row>
    <row r="3" spans="1:14" ht="66">
      <c r="A3" s="11" t="s">
        <v>171</v>
      </c>
      <c r="B3" s="272" t="s">
        <v>123</v>
      </c>
      <c r="C3" s="10"/>
      <c r="D3" s="16"/>
      <c r="E3" s="16">
        <v>0.1</v>
      </c>
      <c r="F3" s="17">
        <f t="shared" ref="F3:F21" si="0">E3-D3</f>
        <v>0.1</v>
      </c>
      <c r="G3" s="113" t="s">
        <v>190</v>
      </c>
      <c r="H3" s="18"/>
      <c r="I3" s="55"/>
      <c r="J3" s="19"/>
      <c r="K3" s="19"/>
      <c r="L3" s="19"/>
      <c r="M3" s="20">
        <f t="shared" ref="M3:M23" ca="1" si="1">MAX(L3-TODAY(),0)</f>
        <v>0</v>
      </c>
      <c r="N3" s="21"/>
    </row>
    <row r="4" spans="1:14" ht="16.5">
      <c r="A4" s="11" t="s">
        <v>172</v>
      </c>
      <c r="B4" s="274"/>
      <c r="C4" s="10"/>
      <c r="D4" s="16"/>
      <c r="E4" s="16">
        <v>0.95</v>
      </c>
      <c r="F4" s="17">
        <f t="shared" si="0"/>
        <v>0.95</v>
      </c>
      <c r="G4" s="114"/>
      <c r="H4" s="18"/>
      <c r="I4" s="45"/>
      <c r="J4" s="19">
        <v>41802</v>
      </c>
      <c r="K4" s="19"/>
      <c r="L4" s="19">
        <v>41863</v>
      </c>
      <c r="M4" s="20">
        <f t="shared" ca="1" si="1"/>
        <v>8</v>
      </c>
      <c r="N4" s="21"/>
    </row>
    <row r="5" spans="1:14" ht="66">
      <c r="A5" s="11" t="s">
        <v>173</v>
      </c>
      <c r="B5" s="274"/>
      <c r="C5" s="10"/>
      <c r="D5" s="16"/>
      <c r="E5" s="16">
        <v>0.1</v>
      </c>
      <c r="F5" s="17">
        <f t="shared" si="0"/>
        <v>0.1</v>
      </c>
      <c r="G5" s="18" t="s">
        <v>191</v>
      </c>
      <c r="H5" s="18"/>
      <c r="I5" s="18"/>
      <c r="J5" s="19"/>
      <c r="K5" s="127">
        <v>41836</v>
      </c>
      <c r="L5" s="19"/>
      <c r="M5" s="20">
        <f t="shared" ca="1" si="1"/>
        <v>0</v>
      </c>
      <c r="N5" s="21"/>
    </row>
    <row r="6" spans="1:14" ht="33">
      <c r="A6" s="11" t="s">
        <v>174</v>
      </c>
      <c r="B6" s="274"/>
      <c r="C6" s="10"/>
      <c r="D6" s="16"/>
      <c r="E6" s="16">
        <v>0.5</v>
      </c>
      <c r="F6" s="17">
        <f t="shared" si="0"/>
        <v>0.5</v>
      </c>
      <c r="G6" s="18" t="s">
        <v>192</v>
      </c>
      <c r="H6" s="18"/>
      <c r="I6" s="18" t="s">
        <v>193</v>
      </c>
      <c r="J6" s="19"/>
      <c r="K6" s="19"/>
      <c r="L6" s="19"/>
      <c r="M6" s="20">
        <f t="shared" ca="1" si="1"/>
        <v>0</v>
      </c>
      <c r="N6" s="21"/>
    </row>
    <row r="7" spans="1:14" ht="49.5">
      <c r="A7" s="11" t="s">
        <v>175</v>
      </c>
      <c r="B7" s="274"/>
      <c r="C7" s="10"/>
      <c r="D7" s="16"/>
      <c r="E7" s="16"/>
      <c r="F7" s="17">
        <f t="shared" si="0"/>
        <v>0</v>
      </c>
      <c r="G7" s="18" t="s">
        <v>194</v>
      </c>
      <c r="H7" s="18"/>
      <c r="I7" s="113"/>
      <c r="J7" s="19"/>
      <c r="K7" s="19"/>
      <c r="L7" s="19"/>
      <c r="M7" s="20">
        <f t="shared" ca="1" si="1"/>
        <v>0</v>
      </c>
      <c r="N7" s="21"/>
    </row>
    <row r="8" spans="1:14" ht="16.5">
      <c r="A8" s="11" t="s">
        <v>176</v>
      </c>
      <c r="B8" s="273"/>
      <c r="C8" s="10"/>
      <c r="D8" s="16"/>
      <c r="E8" s="16"/>
      <c r="F8" s="17">
        <f t="shared" si="0"/>
        <v>0</v>
      </c>
      <c r="G8" s="18"/>
      <c r="H8" s="18"/>
      <c r="I8" s="115"/>
      <c r="J8" s="19"/>
      <c r="K8" s="19"/>
      <c r="L8" s="19"/>
      <c r="M8" s="20">
        <f t="shared" ca="1" si="1"/>
        <v>0</v>
      </c>
      <c r="N8" s="21"/>
    </row>
    <row r="9" spans="1:14" ht="49.5">
      <c r="A9" s="11" t="s">
        <v>177</v>
      </c>
      <c r="B9" s="272" t="s">
        <v>124</v>
      </c>
      <c r="C9" s="22"/>
      <c r="D9" s="16"/>
      <c r="E9" s="16">
        <v>1</v>
      </c>
      <c r="F9" s="17">
        <f t="shared" si="0"/>
        <v>1</v>
      </c>
      <c r="G9" s="18" t="s">
        <v>195</v>
      </c>
      <c r="H9" s="118"/>
      <c r="I9" s="18" t="s">
        <v>196</v>
      </c>
      <c r="J9" s="19"/>
      <c r="K9" s="19"/>
      <c r="L9" s="23">
        <v>41787</v>
      </c>
      <c r="M9" s="20">
        <f t="shared" ca="1" si="1"/>
        <v>0</v>
      </c>
      <c r="N9" s="21"/>
    </row>
    <row r="10" spans="1:14" ht="66">
      <c r="A10" s="11" t="s">
        <v>178</v>
      </c>
      <c r="B10" s="274"/>
      <c r="C10" s="22"/>
      <c r="D10" s="16"/>
      <c r="E10" s="16">
        <v>0.8</v>
      </c>
      <c r="F10" s="17">
        <f t="shared" si="0"/>
        <v>0.8</v>
      </c>
      <c r="G10" s="18" t="s">
        <v>197</v>
      </c>
      <c r="H10" s="18"/>
      <c r="I10" s="18"/>
      <c r="J10" s="19"/>
      <c r="K10" s="23">
        <v>41830</v>
      </c>
      <c r="L10" s="23" t="s">
        <v>198</v>
      </c>
      <c r="M10" s="20" t="e">
        <f t="shared" ca="1" si="1"/>
        <v>#VALUE!</v>
      </c>
      <c r="N10" s="21" t="s">
        <v>214</v>
      </c>
    </row>
    <row r="11" spans="1:14" ht="33">
      <c r="A11" s="11" t="s">
        <v>179</v>
      </c>
      <c r="B11" s="274"/>
      <c r="C11" s="22"/>
      <c r="D11" s="16"/>
      <c r="E11" s="16">
        <v>1</v>
      </c>
      <c r="F11" s="17">
        <f t="shared" ref="F11:F12" si="2">E11-D11</f>
        <v>1</v>
      </c>
      <c r="G11" s="18" t="s">
        <v>199</v>
      </c>
      <c r="H11" s="18"/>
      <c r="I11" s="18"/>
      <c r="J11" s="23"/>
      <c r="K11" s="23"/>
      <c r="L11" s="23"/>
      <c r="M11" s="20">
        <f t="shared" ca="1" si="1"/>
        <v>0</v>
      </c>
      <c r="N11" s="21"/>
    </row>
    <row r="12" spans="1:14" ht="132">
      <c r="A12" s="11" t="s">
        <v>180</v>
      </c>
      <c r="B12" s="273"/>
      <c r="C12" s="22">
        <v>2</v>
      </c>
      <c r="D12" s="16"/>
      <c r="E12" s="16">
        <v>0.2</v>
      </c>
      <c r="F12" s="17">
        <f t="shared" si="2"/>
        <v>0.2</v>
      </c>
      <c r="G12" s="18" t="s">
        <v>200</v>
      </c>
      <c r="H12" s="18" t="s">
        <v>201</v>
      </c>
      <c r="I12" s="18"/>
      <c r="J12" s="23">
        <v>41820</v>
      </c>
      <c r="K12" s="23">
        <v>41831</v>
      </c>
      <c r="L12" s="23">
        <v>41865</v>
      </c>
      <c r="M12" s="20">
        <f t="shared" ca="1" si="1"/>
        <v>10</v>
      </c>
      <c r="N12" s="21" t="s">
        <v>215</v>
      </c>
    </row>
    <row r="13" spans="1:14" ht="115.5">
      <c r="A13" s="11" t="s">
        <v>181</v>
      </c>
      <c r="B13" s="272" t="s">
        <v>125</v>
      </c>
      <c r="C13" s="22"/>
      <c r="D13" s="16"/>
      <c r="E13" s="131">
        <v>0.75</v>
      </c>
      <c r="F13" s="17">
        <f t="shared" si="0"/>
        <v>0.75</v>
      </c>
      <c r="G13" s="18" t="s">
        <v>202</v>
      </c>
      <c r="H13" s="151" t="s">
        <v>203</v>
      </c>
      <c r="I13" s="18" t="s">
        <v>204</v>
      </c>
      <c r="J13" s="23"/>
      <c r="K13" s="23"/>
      <c r="L13" s="23">
        <v>41850</v>
      </c>
      <c r="M13" s="20">
        <f t="shared" ca="1" si="1"/>
        <v>0</v>
      </c>
      <c r="N13" s="24"/>
    </row>
    <row r="14" spans="1:14" ht="115.5">
      <c r="A14" s="11" t="s">
        <v>182</v>
      </c>
      <c r="B14" s="274"/>
      <c r="C14" s="22"/>
      <c r="D14" s="16">
        <v>0.8</v>
      </c>
      <c r="E14" s="131">
        <v>0.9</v>
      </c>
      <c r="F14" s="17">
        <f t="shared" si="0"/>
        <v>9.9999999999999978E-2</v>
      </c>
      <c r="G14" s="18" t="s">
        <v>205</v>
      </c>
      <c r="H14" s="151"/>
      <c r="I14" s="18"/>
      <c r="J14" s="19"/>
      <c r="K14" s="19">
        <v>41767</v>
      </c>
      <c r="L14" s="19">
        <v>41771</v>
      </c>
      <c r="M14" s="20">
        <f t="shared" ca="1" si="1"/>
        <v>0</v>
      </c>
      <c r="N14" s="24"/>
    </row>
    <row r="15" spans="1:14" ht="33">
      <c r="A15" s="11" t="s">
        <v>183</v>
      </c>
      <c r="B15" s="274"/>
      <c r="C15" s="22">
        <v>1</v>
      </c>
      <c r="D15" s="16">
        <v>1</v>
      </c>
      <c r="E15" s="131">
        <v>0.9</v>
      </c>
      <c r="F15" s="17">
        <f t="shared" si="0"/>
        <v>-9.9999999999999978E-2</v>
      </c>
      <c r="G15" s="18" t="s">
        <v>206</v>
      </c>
      <c r="H15" s="151"/>
      <c r="I15" s="18"/>
      <c r="J15" s="19">
        <v>41782</v>
      </c>
      <c r="K15" s="19"/>
      <c r="L15" s="128">
        <v>41831</v>
      </c>
      <c r="M15" s="20">
        <f t="shared" ca="1" si="1"/>
        <v>0</v>
      </c>
      <c r="N15" s="24"/>
    </row>
    <row r="16" spans="1:14" ht="99">
      <c r="A16" s="11" t="s">
        <v>184</v>
      </c>
      <c r="B16" s="273"/>
      <c r="C16" s="22">
        <v>0</v>
      </c>
      <c r="D16" s="16">
        <v>0.6</v>
      </c>
      <c r="E16" s="131">
        <v>0.6</v>
      </c>
      <c r="F16" s="17">
        <f t="shared" si="0"/>
        <v>0</v>
      </c>
      <c r="G16" s="18" t="s">
        <v>207</v>
      </c>
      <c r="H16" s="151"/>
      <c r="I16" s="18"/>
      <c r="J16" s="19">
        <v>41793</v>
      </c>
      <c r="K16" s="19"/>
      <c r="L16" s="19">
        <v>41853</v>
      </c>
      <c r="M16" s="20">
        <f t="shared" ca="1" si="1"/>
        <v>0</v>
      </c>
      <c r="N16" s="24"/>
    </row>
    <row r="17" spans="1:14" ht="214.5">
      <c r="A17" s="11" t="s">
        <v>185</v>
      </c>
      <c r="B17" s="272" t="s">
        <v>85</v>
      </c>
      <c r="C17" s="116">
        <v>1</v>
      </c>
      <c r="D17" s="119">
        <v>1</v>
      </c>
      <c r="E17" s="119">
        <v>1</v>
      </c>
      <c r="F17" s="17">
        <f t="shared" si="0"/>
        <v>0</v>
      </c>
      <c r="G17" s="122" t="s">
        <v>208</v>
      </c>
      <c r="H17" s="122" t="s">
        <v>209</v>
      </c>
      <c r="I17" s="122"/>
      <c r="J17" s="123">
        <v>41765</v>
      </c>
      <c r="K17" s="123"/>
      <c r="L17" s="123">
        <v>41787</v>
      </c>
      <c r="M17" s="20">
        <f t="shared" ca="1" si="1"/>
        <v>0</v>
      </c>
      <c r="N17" s="24"/>
    </row>
    <row r="18" spans="1:14" ht="99">
      <c r="A18" s="11" t="s">
        <v>186</v>
      </c>
      <c r="B18" s="274"/>
      <c r="C18" s="116">
        <v>3</v>
      </c>
      <c r="D18" s="119">
        <v>1</v>
      </c>
      <c r="E18" s="119">
        <v>1</v>
      </c>
      <c r="F18" s="17">
        <f t="shared" si="0"/>
        <v>0</v>
      </c>
      <c r="G18" s="122" t="s">
        <v>210</v>
      </c>
      <c r="H18" s="122"/>
      <c r="I18" s="122"/>
      <c r="J18" s="123">
        <v>41806</v>
      </c>
      <c r="K18" s="123"/>
      <c r="L18" s="123">
        <v>41835</v>
      </c>
      <c r="M18" s="20">
        <f t="shared" ca="1" si="1"/>
        <v>0</v>
      </c>
      <c r="N18" s="24"/>
    </row>
    <row r="19" spans="1:14" ht="99">
      <c r="A19" s="11" t="s">
        <v>187</v>
      </c>
      <c r="B19" s="273"/>
      <c r="C19" s="120">
        <v>3</v>
      </c>
      <c r="D19" s="121">
        <v>0.2</v>
      </c>
      <c r="E19" s="121">
        <v>0.2</v>
      </c>
      <c r="F19" s="17">
        <f t="shared" si="0"/>
        <v>0</v>
      </c>
      <c r="G19" s="122" t="s">
        <v>211</v>
      </c>
      <c r="H19" s="122"/>
      <c r="I19" s="122"/>
      <c r="J19" s="123">
        <v>41813</v>
      </c>
      <c r="K19" s="123">
        <v>41842</v>
      </c>
      <c r="L19" s="123">
        <v>41852</v>
      </c>
      <c r="M19" s="20">
        <f t="shared" ca="1" si="1"/>
        <v>0</v>
      </c>
      <c r="N19" s="24"/>
    </row>
    <row r="20" spans="1:14" ht="115.5">
      <c r="A20" s="11" t="s">
        <v>188</v>
      </c>
      <c r="B20" s="272" t="s">
        <v>134</v>
      </c>
      <c r="C20" s="120"/>
      <c r="D20" s="121"/>
      <c r="E20" s="121"/>
      <c r="F20" s="17">
        <f t="shared" si="0"/>
        <v>0</v>
      </c>
      <c r="G20" s="122" t="s">
        <v>212</v>
      </c>
      <c r="H20" s="122"/>
      <c r="I20" s="122"/>
      <c r="J20" s="123">
        <v>41835</v>
      </c>
      <c r="K20" s="123">
        <v>41842</v>
      </c>
      <c r="L20" s="123">
        <v>41842</v>
      </c>
      <c r="M20" s="20">
        <f t="shared" ca="1" si="1"/>
        <v>0</v>
      </c>
      <c r="N20" s="24"/>
    </row>
    <row r="21" spans="1:14" ht="66">
      <c r="A21" s="11" t="s">
        <v>189</v>
      </c>
      <c r="B21" s="273"/>
      <c r="C21" s="120"/>
      <c r="D21" s="121"/>
      <c r="E21" s="121"/>
      <c r="F21" s="17">
        <f t="shared" si="0"/>
        <v>0</v>
      </c>
      <c r="G21" s="122" t="s">
        <v>213</v>
      </c>
      <c r="H21" s="122"/>
      <c r="I21" s="122"/>
      <c r="J21" s="123"/>
      <c r="K21" s="123"/>
      <c r="L21" s="123"/>
      <c r="M21" s="20">
        <f t="shared" ca="1" si="1"/>
        <v>0</v>
      </c>
      <c r="N21" s="24"/>
    </row>
    <row r="22" spans="1:14" ht="16.5">
      <c r="A22" s="6"/>
      <c r="B22" s="9"/>
      <c r="C22" s="22"/>
      <c r="D22" s="16"/>
      <c r="E22" s="16"/>
      <c r="F22" s="17">
        <f t="shared" ref="F22:F23" si="3">E22-D22</f>
        <v>0</v>
      </c>
      <c r="G22" s="25"/>
      <c r="H22" s="25"/>
      <c r="I22" s="25"/>
      <c r="J22" s="19"/>
      <c r="K22" s="19"/>
      <c r="L22" s="19"/>
      <c r="M22" s="20">
        <f t="shared" ca="1" si="1"/>
        <v>0</v>
      </c>
      <c r="N22" s="21"/>
    </row>
    <row r="23" spans="1:14" ht="16.5">
      <c r="A23" s="6"/>
      <c r="B23" s="9"/>
      <c r="C23" s="22"/>
      <c r="D23" s="16"/>
      <c r="E23" s="16"/>
      <c r="F23" s="17">
        <f t="shared" si="3"/>
        <v>0</v>
      </c>
      <c r="G23" s="25"/>
      <c r="H23" s="25"/>
      <c r="I23" s="25"/>
      <c r="J23" s="123"/>
      <c r="K23" s="19"/>
      <c r="L23" s="123"/>
      <c r="M23" s="20">
        <f t="shared" ca="1" si="1"/>
        <v>0</v>
      </c>
      <c r="N23" s="21"/>
    </row>
    <row r="28" spans="1:14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</sheetData>
  <mergeCells count="6">
    <mergeCell ref="B1:I1"/>
    <mergeCell ref="B20:B21"/>
    <mergeCell ref="B3:B8"/>
    <mergeCell ref="B9:B12"/>
    <mergeCell ref="B17:B19"/>
    <mergeCell ref="B13:B16"/>
  </mergeCells>
  <phoneticPr fontId="13" type="noConversion"/>
  <conditionalFormatting sqref="D22:E22">
    <cfRule type="dataBar" priority="126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{78C1BBB3-5848-44CC-85BF-F413CF347665}</x14:id>
        </ext>
      </extLst>
    </cfRule>
  </conditionalFormatting>
  <conditionalFormatting sqref="D23:E23">
    <cfRule type="dataBar" priority="123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{65ADD08D-43B1-4E78-A2B1-5F756E40C91F}</x14:id>
        </ext>
      </extLst>
    </cfRule>
  </conditionalFormatting>
  <conditionalFormatting sqref="F2">
    <cfRule type="iconSet" priority="139">
      <iconSet iconSet="5Arrows">
        <cfvo type="percent" val="0"/>
        <cfvo type="num" val="-0.15"/>
        <cfvo type="num" val="0"/>
        <cfvo type="num" val="0" gte="0"/>
        <cfvo type="num" val="0.15"/>
      </iconSet>
    </cfRule>
  </conditionalFormatting>
  <conditionalFormatting sqref="F3:F23">
    <cfRule type="iconSet" priority="86">
      <iconSet iconSet="5Arrows">
        <cfvo type="percent" val="0"/>
        <cfvo type="num" val="-0.15"/>
        <cfvo type="num" val="0"/>
        <cfvo type="num" val="0" gte="0"/>
        <cfvo type="num" val="0.15"/>
      </iconSet>
    </cfRule>
  </conditionalFormatting>
  <conditionalFormatting sqref="M3">
    <cfRule type="dataBar" priority="34">
      <dataBar>
        <cfvo type="num" val="0"/>
        <cfvo type="formula" val="$L$3-$J$3"/>
        <color rgb="FF00B0F0"/>
      </dataBar>
      <extLst>
        <ext xmlns:x14="http://schemas.microsoft.com/office/spreadsheetml/2009/9/main" uri="{B025F937-C7B1-47D3-B67F-A62EFF666E3E}">
          <x14:id>{85569DEB-7703-4DBC-A07A-157941DE0062}</x14:id>
        </ext>
      </extLst>
    </cfRule>
  </conditionalFormatting>
  <conditionalFormatting sqref="M4">
    <cfRule type="dataBar" priority="33">
      <dataBar>
        <cfvo type="num" val="0"/>
        <cfvo type="formula" val="$L$4-$J$4"/>
        <color rgb="FF00B0F0"/>
      </dataBar>
      <extLst>
        <ext xmlns:x14="http://schemas.microsoft.com/office/spreadsheetml/2009/9/main" uri="{B025F937-C7B1-47D3-B67F-A62EFF666E3E}">
          <x14:id>{D15EE75C-3DB3-478D-8953-5DB3D9EEFFA1}</x14:id>
        </ext>
      </extLst>
    </cfRule>
  </conditionalFormatting>
  <conditionalFormatting sqref="M5">
    <cfRule type="dataBar" priority="32">
      <dataBar>
        <cfvo type="num" val="0"/>
        <cfvo type="formula" val="$L$5-$J$5"/>
        <color rgb="FF00B0F0"/>
      </dataBar>
      <extLst>
        <ext xmlns:x14="http://schemas.microsoft.com/office/spreadsheetml/2009/9/main" uri="{B025F937-C7B1-47D3-B67F-A62EFF666E3E}">
          <x14:id>{3B7A3F5D-F2EB-423C-B818-DF7C5B475FF4}</x14:id>
        </ext>
      </extLst>
    </cfRule>
  </conditionalFormatting>
  <conditionalFormatting sqref="M6">
    <cfRule type="dataBar" priority="31">
      <dataBar>
        <cfvo type="num" val="0"/>
        <cfvo type="formula" val="$L$6-$J$6"/>
        <color rgb="FF00B0F0"/>
      </dataBar>
      <extLst>
        <ext xmlns:x14="http://schemas.microsoft.com/office/spreadsheetml/2009/9/main" uri="{B025F937-C7B1-47D3-B67F-A62EFF666E3E}">
          <x14:id>{504C9D69-C946-4243-BC35-3978800D3B4C}</x14:id>
        </ext>
      </extLst>
    </cfRule>
  </conditionalFormatting>
  <conditionalFormatting sqref="M7">
    <cfRule type="dataBar" priority="30">
      <dataBar>
        <cfvo type="num" val="0"/>
        <cfvo type="formula" val="$L$7-$J$7"/>
        <color rgb="FF638EC6"/>
      </dataBar>
      <extLst>
        <ext xmlns:x14="http://schemas.microsoft.com/office/spreadsheetml/2009/9/main" uri="{B025F937-C7B1-47D3-B67F-A62EFF666E3E}">
          <x14:id>{F99FF727-352E-478C-A0AF-082A3FF8D283}</x14:id>
        </ext>
      </extLst>
    </cfRule>
  </conditionalFormatting>
  <conditionalFormatting sqref="M8">
    <cfRule type="dataBar" priority="29">
      <dataBar>
        <cfvo type="num" val="0"/>
        <cfvo type="formula" val="$L$8-$J$8"/>
        <color rgb="FF00B0F0"/>
      </dataBar>
      <extLst>
        <ext xmlns:x14="http://schemas.microsoft.com/office/spreadsheetml/2009/9/main" uri="{B025F937-C7B1-47D3-B67F-A62EFF666E3E}">
          <x14:id>{447D211F-3533-45A2-928C-D2EF4C13387E}</x14:id>
        </ext>
      </extLst>
    </cfRule>
  </conditionalFormatting>
  <conditionalFormatting sqref="M9">
    <cfRule type="dataBar" priority="28">
      <dataBar>
        <cfvo type="num" val="0"/>
        <cfvo type="formula" val="$L$9-$J$9"/>
        <color rgb="FF00B0F0"/>
      </dataBar>
      <extLst>
        <ext xmlns:x14="http://schemas.microsoft.com/office/spreadsheetml/2009/9/main" uri="{B025F937-C7B1-47D3-B67F-A62EFF666E3E}">
          <x14:id>{F7AA8924-7AA4-4642-B8D1-7C2FFCB5135A}</x14:id>
        </ext>
      </extLst>
    </cfRule>
  </conditionalFormatting>
  <conditionalFormatting sqref="M10">
    <cfRule type="dataBar" priority="26">
      <dataBar>
        <cfvo type="num" val="0"/>
        <cfvo type="formula" val="$L$10-$J$10"/>
        <color rgb="FF00B0F0"/>
      </dataBar>
      <extLst>
        <ext xmlns:x14="http://schemas.microsoft.com/office/spreadsheetml/2009/9/main" uri="{B025F937-C7B1-47D3-B67F-A62EFF666E3E}">
          <x14:id>{33B6E2E0-1630-498C-983E-3A4691DB102C}</x14:id>
        </ext>
      </extLst>
    </cfRule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{1A5027AE-15E9-47EC-A7E6-B766DF2D3801}</x14:id>
        </ext>
      </extLst>
    </cfRule>
  </conditionalFormatting>
  <conditionalFormatting sqref="M11">
    <cfRule type="dataBar" priority="25">
      <dataBar>
        <cfvo type="num" val="0"/>
        <cfvo type="formula" val="$L$11-$J$11"/>
        <color rgb="FF00B0F0"/>
      </dataBar>
      <extLst>
        <ext xmlns:x14="http://schemas.microsoft.com/office/spreadsheetml/2009/9/main" uri="{B025F937-C7B1-47D3-B67F-A62EFF666E3E}">
          <x14:id>{BA8EF886-5558-4C82-91E7-AD67061A7A51}</x14:id>
        </ext>
      </extLst>
    </cfRule>
  </conditionalFormatting>
  <conditionalFormatting sqref="M12">
    <cfRule type="dataBar" priority="24">
      <dataBar>
        <cfvo type="num" val="0"/>
        <cfvo type="formula" val="$L$12-$J$12"/>
        <color rgb="FF00B0F0"/>
      </dataBar>
      <extLst>
        <ext xmlns:x14="http://schemas.microsoft.com/office/spreadsheetml/2009/9/main" uri="{B025F937-C7B1-47D3-B67F-A62EFF666E3E}">
          <x14:id>{A2BFD66B-7EAD-4FE0-A3E8-89A46902B89D}</x14:id>
        </ext>
      </extLst>
    </cfRule>
  </conditionalFormatting>
  <conditionalFormatting sqref="M13">
    <cfRule type="dataBar" priority="23">
      <dataBar>
        <cfvo type="num" val="0"/>
        <cfvo type="formula" val="$L$13-$J$13"/>
        <color rgb="FF00B0F0"/>
      </dataBar>
      <extLst>
        <ext xmlns:x14="http://schemas.microsoft.com/office/spreadsheetml/2009/9/main" uri="{B025F937-C7B1-47D3-B67F-A62EFF666E3E}">
          <x14:id>{D055F8AA-F9B6-4E36-9670-A97B44C4FED3}</x14:id>
        </ext>
      </extLst>
    </cfRule>
  </conditionalFormatting>
  <conditionalFormatting sqref="M14">
    <cfRule type="dataBar" priority="22">
      <dataBar>
        <cfvo type="num" val="0"/>
        <cfvo type="formula" val="$L$14-$J$14"/>
        <color rgb="FF00B0F0"/>
      </dataBar>
      <extLst>
        <ext xmlns:x14="http://schemas.microsoft.com/office/spreadsheetml/2009/9/main" uri="{B025F937-C7B1-47D3-B67F-A62EFF666E3E}">
          <x14:id>{75F702CE-22A9-44E2-BB4B-105E08F334C7}</x14:id>
        </ext>
      </extLst>
    </cfRule>
  </conditionalFormatting>
  <conditionalFormatting sqref="M15">
    <cfRule type="dataBar" priority="21">
      <dataBar>
        <cfvo type="num" val="0"/>
        <cfvo type="formula" val="$L$15-$J$15"/>
        <color rgb="FF00B0F0"/>
      </dataBar>
      <extLst>
        <ext xmlns:x14="http://schemas.microsoft.com/office/spreadsheetml/2009/9/main" uri="{B025F937-C7B1-47D3-B67F-A62EFF666E3E}">
          <x14:id>{FE879FC8-79D5-41B5-B178-13BFF3E24DF5}</x14:id>
        </ext>
      </extLst>
    </cfRule>
  </conditionalFormatting>
  <conditionalFormatting sqref="M16">
    <cfRule type="dataBar" priority="20">
      <dataBar>
        <cfvo type="num" val="0"/>
        <cfvo type="formula" val="$L$16-$J$16"/>
        <color rgb="FF00B0F0"/>
      </dataBar>
      <extLst>
        <ext xmlns:x14="http://schemas.microsoft.com/office/spreadsheetml/2009/9/main" uri="{B025F937-C7B1-47D3-B67F-A62EFF666E3E}">
          <x14:id>{12B4C76F-5F80-42BD-9CD6-B5FA0A74F101}</x14:id>
        </ext>
      </extLst>
    </cfRule>
  </conditionalFormatting>
  <conditionalFormatting sqref="M17">
    <cfRule type="dataBar" priority="19">
      <dataBar>
        <cfvo type="num" val="0"/>
        <cfvo type="formula" val="$L$17-$J$17"/>
        <color rgb="FF00B0F0"/>
      </dataBar>
      <extLst>
        <ext xmlns:x14="http://schemas.microsoft.com/office/spreadsheetml/2009/9/main" uri="{B025F937-C7B1-47D3-B67F-A62EFF666E3E}">
          <x14:id>{6FA0F5F0-8002-4B7E-87CE-443A5ACF1F38}</x14:id>
        </ext>
      </extLst>
    </cfRule>
  </conditionalFormatting>
  <conditionalFormatting sqref="M18">
    <cfRule type="dataBar" priority="18">
      <dataBar>
        <cfvo type="num" val="0"/>
        <cfvo type="formula" val="$L$18-$J$18"/>
        <color rgb="FF00B0F0"/>
      </dataBar>
      <extLst>
        <ext xmlns:x14="http://schemas.microsoft.com/office/spreadsheetml/2009/9/main" uri="{B025F937-C7B1-47D3-B67F-A62EFF666E3E}">
          <x14:id>{0D951A5F-457E-4E99-BC19-F576BC8997E5}</x14:id>
        </ext>
      </extLst>
    </cfRule>
  </conditionalFormatting>
  <conditionalFormatting sqref="M19">
    <cfRule type="dataBar" priority="17">
      <dataBar>
        <cfvo type="num" val="0"/>
        <cfvo type="formula" val="$L$19-$J$19"/>
        <color rgb="FF00B0F0"/>
      </dataBar>
      <extLst>
        <ext xmlns:x14="http://schemas.microsoft.com/office/spreadsheetml/2009/9/main" uri="{B025F937-C7B1-47D3-B67F-A62EFF666E3E}">
          <x14:id>{64C0C291-9E80-457F-BFA6-118F2DBBE3A6}</x14:id>
        </ext>
      </extLst>
    </cfRule>
  </conditionalFormatting>
  <conditionalFormatting sqref="M20">
    <cfRule type="dataBar" priority="16">
      <dataBar>
        <cfvo type="num" val="0"/>
        <cfvo type="formula" val="$L$20-$J$20"/>
        <color rgb="FF00B0F0"/>
      </dataBar>
      <extLst>
        <ext xmlns:x14="http://schemas.microsoft.com/office/spreadsheetml/2009/9/main" uri="{B025F937-C7B1-47D3-B67F-A62EFF666E3E}">
          <x14:id>{0D4BC2C9-AED2-4858-A0DC-9C13E3E9F8E6}</x14:id>
        </ext>
      </extLst>
    </cfRule>
  </conditionalFormatting>
  <conditionalFormatting sqref="M21">
    <cfRule type="dataBar" priority="15">
      <dataBar>
        <cfvo type="num" val="0"/>
        <cfvo type="formula" val="$L$21-$J$21"/>
        <color rgb="FF00B0F0"/>
      </dataBar>
      <extLst>
        <ext xmlns:x14="http://schemas.microsoft.com/office/spreadsheetml/2009/9/main" uri="{B025F937-C7B1-47D3-B67F-A62EFF666E3E}">
          <x14:id>{A022A45A-B2B5-4F17-ABD8-78B454B4603F}</x14:id>
        </ext>
      </extLst>
    </cfRule>
  </conditionalFormatting>
  <conditionalFormatting sqref="D3:D5 D8">
    <cfRule type="dataBar" priority="14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{683E0A3E-127D-4246-8816-3367878F5D9E}</x14:id>
        </ext>
      </extLst>
    </cfRule>
  </conditionalFormatting>
  <conditionalFormatting sqref="D6:D7">
    <cfRule type="dataBar" priority="13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{B46A97AE-91CC-4443-B47F-533F126E30CB}</x14:id>
        </ext>
      </extLst>
    </cfRule>
  </conditionalFormatting>
  <conditionalFormatting sqref="E5:E7">
    <cfRule type="dataBar" priority="10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{11929D58-721C-4006-A194-2D9002175625}</x14:id>
        </ext>
      </extLst>
    </cfRule>
  </conditionalFormatting>
  <conditionalFormatting sqref="D9:D12">
    <cfRule type="dataBar" priority="12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{F3C6DF14-A36C-4506-B0E6-BEF821D37E8C}</x14:id>
        </ext>
      </extLst>
    </cfRule>
  </conditionalFormatting>
  <conditionalFormatting sqref="E3:E5 E8">
    <cfRule type="dataBar" priority="1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{33AE9BB7-E6B2-4D0C-BDF4-F14A895B95AD}</x14:id>
        </ext>
      </extLst>
    </cfRule>
  </conditionalFormatting>
  <conditionalFormatting sqref="E7">
    <cfRule type="dataBar" priority="9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{34249784-FDB2-438F-8102-F817AE60658F}</x14:id>
        </ext>
      </extLst>
    </cfRule>
  </conditionalFormatting>
  <conditionalFormatting sqref="E9:E12">
    <cfRule type="dataBar" priority="8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{3A1064D1-0C9D-4A29-9BFC-8484B789E2FF}</x14:id>
        </ext>
      </extLst>
    </cfRule>
  </conditionalFormatting>
  <conditionalFormatting sqref="D13:D14 D16">
    <cfRule type="dataBar" priority="7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{36D4AA65-9155-40F5-A899-75F6ECC0FB79}</x14:id>
        </ext>
      </extLst>
    </cfRule>
  </conditionalFormatting>
  <conditionalFormatting sqref="E13:E14 E16">
    <cfRule type="dataBar" priority="6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{D6E4D73D-51D8-4223-8203-55656CDFFD7F}</x14:id>
        </ext>
      </extLst>
    </cfRule>
  </conditionalFormatting>
  <conditionalFormatting sqref="D15">
    <cfRule type="dataBar" priority="5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{8B23AB7A-9909-4851-A908-A45C8A5C7545}</x14:id>
        </ext>
      </extLst>
    </cfRule>
  </conditionalFormatting>
  <conditionalFormatting sqref="E15">
    <cfRule type="dataBar" priority="4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{777B486A-D72F-40AC-BDEC-E0F089D0D3AE}</x14:id>
        </ext>
      </extLst>
    </cfRule>
  </conditionalFormatting>
  <conditionalFormatting sqref="D18:E18">
    <cfRule type="dataBar" priority="3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{F10DC6EB-C2C7-499B-8AFD-CBF00FEA7C37}</x14:id>
        </ext>
      </extLst>
    </cfRule>
  </conditionalFormatting>
  <conditionalFormatting sqref="D17:E17">
    <cfRule type="dataBar" priority="2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{31722042-7C74-4435-B4EA-8D91E086F9F9}</x14:id>
        </ext>
      </extLst>
    </cfRule>
  </conditionalFormatting>
  <conditionalFormatting sqref="D19:E21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{1907A0FF-EAE9-4F24-8067-A44C36A59AE5}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8C1BBB3-5848-44CC-85BF-F413CF3476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65ADD08D-43B1-4E78-A2B1-5F756E40C9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D23:E23</xm:sqref>
        </x14:conditionalFormatting>
        <x14:conditionalFormatting xmlns:xm="http://schemas.microsoft.com/office/excel/2006/main">
          <x14:cfRule type="dataBar" id="{85569DEB-7703-4DBC-A07A-157941DE0062}">
            <x14:dataBar minLength="0" maxLength="100" gradient="0">
              <x14:cfvo type="num">
                <xm:f>0</xm:f>
              </x14:cfvo>
              <x14:cfvo type="formula">
                <xm:f>$L$3-$J$3</xm:f>
              </x14:cfvo>
              <x14:negativeFillColor rgb="FFFF0000"/>
              <x14:axisColor rgb="FF000000"/>
            </x14:dataBar>
          </x14:cfRule>
          <xm:sqref>M3</xm:sqref>
        </x14:conditionalFormatting>
        <x14:conditionalFormatting xmlns:xm="http://schemas.microsoft.com/office/excel/2006/main">
          <x14:cfRule type="dataBar" id="{D15EE75C-3DB3-478D-8953-5DB3D9EEFFA1}">
            <x14:dataBar minLength="0" maxLength="100" gradient="0">
              <x14:cfvo type="num">
                <xm:f>0</xm:f>
              </x14:cfvo>
              <x14:cfvo type="formula">
                <xm:f>$L$4-$J$4</xm:f>
              </x14:cfvo>
              <x14:negativeFill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B7A3F5D-F2EB-423C-B818-DF7C5B475FF4}">
            <x14:dataBar minLength="0" maxLength="100" gradient="0">
              <x14:cfvo type="num">
                <xm:f>0</xm:f>
              </x14:cfvo>
              <x14:cfvo type="formula">
                <xm:f>$L$5-$J$5</xm:f>
              </x14:cfvo>
              <x14:negativeFill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504C9D69-C946-4243-BC35-3978800D3B4C}">
            <x14:dataBar minLength="0" maxLength="100" gradient="0">
              <x14:cfvo type="num">
                <xm:f>0</xm:f>
              </x14:cfvo>
              <x14:cfvo type="formula">
                <xm:f>$L$6-$J$6</xm:f>
              </x14:cfvo>
              <x14:negativeFill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99FF727-352E-478C-A0AF-082A3FF8D283}">
            <x14:dataBar minLength="0" maxLength="100" gradient="0">
              <x14:cfvo type="num">
                <xm:f>0</xm:f>
              </x14:cfvo>
              <x14:cfvo type="formula">
                <xm:f>$L$7-$J$7</xm:f>
              </x14:cfvo>
              <x14:negativeFill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447D211F-3533-45A2-928C-D2EF4C13387E}">
            <x14:dataBar minLength="0" maxLength="100" gradient="0">
              <x14:cfvo type="num">
                <xm:f>0</xm:f>
              </x14:cfvo>
              <x14:cfvo type="formula">
                <xm:f>$L$8-$J$8</xm:f>
              </x14:cfvo>
              <x14:negativeFill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7AA8924-7AA4-4642-B8D1-7C2FFCB5135A}">
            <x14:dataBar minLength="0" maxLength="100" gradient="0">
              <x14:cfvo type="num">
                <xm:f>0</xm:f>
              </x14:cfvo>
              <x14:cfvo type="formula">
                <xm:f>$L$9-$J$9</xm:f>
              </x14:cfvo>
              <x14:negativeFill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3B6E2E0-1630-498C-983E-3A4691DB102C}">
            <x14:dataBar minLength="0" maxLength="100" gradient="0">
              <x14:cfvo type="num">
                <xm:f>0</xm:f>
              </x14:cfvo>
              <x14:cfvo type="formula">
                <xm:f>$L$10-$J$10</xm:f>
              </x14:cfvo>
              <x14:negativeFillColor rgb="FFFF0000"/>
              <x14:axisColor rgb="FF000000"/>
            </x14:dataBar>
          </x14:cfRule>
          <x14:cfRule type="dataBar" id="{1A5027AE-15E9-47EC-A7E6-B766DF2D38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A8EF886-5558-4C82-91E7-AD67061A7A51}">
            <x14:dataBar minLength="0" maxLength="100" gradient="0">
              <x14:cfvo type="num">
                <xm:f>0</xm:f>
              </x14:cfvo>
              <x14:cfvo type="formula">
                <xm:f>$L$11-$J$11</xm:f>
              </x14:cfvo>
              <x14:negativeFill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2BFD66B-7EAD-4FE0-A3E8-89A46902B89D}">
            <x14:dataBar minLength="0" maxLength="100" gradient="0">
              <x14:cfvo type="num">
                <xm:f>0</xm:f>
              </x14:cfvo>
              <x14:cfvo type="formula">
                <xm:f>$L$12-$J$12</xm:f>
              </x14:cfvo>
              <x14:negativeFill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055F8AA-F9B6-4E36-9670-A97B44C4FED3}">
            <x14:dataBar minLength="0" maxLength="100" gradient="0">
              <x14:cfvo type="num">
                <xm:f>0</xm:f>
              </x14:cfvo>
              <x14:cfvo type="formula">
                <xm:f>$L$13-$J$13</xm:f>
              </x14:cfvo>
              <x14:negativeFill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5F702CE-22A9-44E2-BB4B-105E08F334C7}">
            <x14:dataBar minLength="0" maxLength="100" gradient="0">
              <x14:cfvo type="num">
                <xm:f>0</xm:f>
              </x14:cfvo>
              <x14:cfvo type="formula">
                <xm:f>$L$14-$J$14</xm:f>
              </x14:cfvo>
              <x14:negativeFill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FE879FC8-79D5-41B5-B178-13BFF3E24DF5}">
            <x14:dataBar minLength="0" maxLength="100" gradient="0">
              <x14:cfvo type="num">
                <xm:f>0</xm:f>
              </x14:cfvo>
              <x14:cfvo type="formula">
                <xm:f>$L$15-$J$15</xm:f>
              </x14:cfvo>
              <x14:negativeFill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2B4C76F-5F80-42BD-9CD6-B5FA0A74F101}">
            <x14:dataBar minLength="0" maxLength="100" gradient="0">
              <x14:cfvo type="num">
                <xm:f>0</xm:f>
              </x14:cfvo>
              <x14:cfvo type="formula">
                <xm:f>$L$16-$J$16</xm:f>
              </x14:cfvo>
              <x14:negativeFill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6FA0F5F0-8002-4B7E-87CE-443A5ACF1F38}">
            <x14:dataBar minLength="0" maxLength="100" gradient="0">
              <x14:cfvo type="num">
                <xm:f>0</xm:f>
              </x14:cfvo>
              <x14:cfvo type="formula">
                <xm:f>$L$17-$J$17</xm:f>
              </x14:cfvo>
              <x14:negativeFill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D951A5F-457E-4E99-BC19-F576BC8997E5}">
            <x14:dataBar minLength="0" maxLength="100" gradient="0">
              <x14:cfvo type="num">
                <xm:f>0</xm:f>
              </x14:cfvo>
              <x14:cfvo type="formula">
                <xm:f>$L$18-$J$18</xm:f>
              </x14:cfvo>
              <x14:negativeFill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4C0C291-9E80-457F-BFA6-118F2DBBE3A6}">
            <x14:dataBar minLength="0" maxLength="100" gradient="0">
              <x14:cfvo type="num">
                <xm:f>0</xm:f>
              </x14:cfvo>
              <x14:cfvo type="formula">
                <xm:f>$L$19-$J$19</xm:f>
              </x14:cfvo>
              <x14:negativeFill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0D4BC2C9-AED2-4858-A0DC-9C13E3E9F8E6}">
            <x14:dataBar minLength="0" maxLength="100" gradient="0">
              <x14:cfvo type="num">
                <xm:f>0</xm:f>
              </x14:cfvo>
              <x14:cfvo type="formula">
                <xm:f>$L$20-$J$20</xm:f>
              </x14:cfvo>
              <x14:negativeFill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A022A45A-B2B5-4F17-ABD8-78B454B4603F}">
            <x14:dataBar minLength="0" maxLength="100" gradient="0">
              <x14:cfvo type="num">
                <xm:f>0</xm:f>
              </x14:cfvo>
              <x14:cfvo type="formula">
                <xm:f>$L$21-$J$21</xm:f>
              </x14:cfvo>
              <x14:negativeFill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683E0A3E-127D-4246-8816-3367878F5D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D3:D5 D8</xm:sqref>
        </x14:conditionalFormatting>
        <x14:conditionalFormatting xmlns:xm="http://schemas.microsoft.com/office/excel/2006/main">
          <x14:cfRule type="dataBar" id="{B46A97AE-91CC-4443-B47F-533F126E30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D6:D7</xm:sqref>
        </x14:conditionalFormatting>
        <x14:conditionalFormatting xmlns:xm="http://schemas.microsoft.com/office/excel/2006/main">
          <x14:cfRule type="dataBar" id="{11929D58-721C-4006-A194-2D90021756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E5:E7</xm:sqref>
        </x14:conditionalFormatting>
        <x14:conditionalFormatting xmlns:xm="http://schemas.microsoft.com/office/excel/2006/main">
          <x14:cfRule type="dataBar" id="{F3C6DF14-A36C-4506-B0E6-BEF821D37E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D9:D12</xm:sqref>
        </x14:conditionalFormatting>
        <x14:conditionalFormatting xmlns:xm="http://schemas.microsoft.com/office/excel/2006/main">
          <x14:cfRule type="dataBar" id="{33AE9BB7-E6B2-4D0C-BDF4-F14A895B95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E3:E5 E8</xm:sqref>
        </x14:conditionalFormatting>
        <x14:conditionalFormatting xmlns:xm="http://schemas.microsoft.com/office/excel/2006/main">
          <x14:cfRule type="dataBar" id="{34249784-FDB2-438F-8102-F817AE6065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3A1064D1-0C9D-4A29-9BFC-8484B789E2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E9:E12</xm:sqref>
        </x14:conditionalFormatting>
        <x14:conditionalFormatting xmlns:xm="http://schemas.microsoft.com/office/excel/2006/main">
          <x14:cfRule type="dataBar" id="{36D4AA65-9155-40F5-A899-75F6ECC0FB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D13:D14 D16</xm:sqref>
        </x14:conditionalFormatting>
        <x14:conditionalFormatting xmlns:xm="http://schemas.microsoft.com/office/excel/2006/main">
          <x14:cfRule type="dataBar" id="{D6E4D73D-51D8-4223-8203-55656CDFFD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E13:E14 E16</xm:sqref>
        </x14:conditionalFormatting>
        <x14:conditionalFormatting xmlns:xm="http://schemas.microsoft.com/office/excel/2006/main">
          <x14:cfRule type="dataBar" id="{8B23AB7A-9909-4851-A908-A45C8A5C75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777B486A-D72F-40AC-BDEC-E0F089D0D3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</xm:sqref>
        </x14:conditionalFormatting>
        <x14:conditionalFormatting xmlns:xm="http://schemas.microsoft.com/office/excel/2006/main">
          <x14:cfRule type="dataBar" id="{F10DC6EB-C2C7-499B-8AFD-CBF00FEA7C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D18:E18</xm:sqref>
        </x14:conditionalFormatting>
        <x14:conditionalFormatting xmlns:xm="http://schemas.microsoft.com/office/excel/2006/main">
          <x14:cfRule type="dataBar" id="{31722042-7C74-4435-B4EA-8D91E086F9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1907A0FF-EAE9-4F24-8067-A44C36A59A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D19:E21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4"/>
  <sheetViews>
    <sheetView zoomScaleNormal="100" workbookViewId="0">
      <pane xSplit="1" topLeftCell="B1" activePane="topRight" state="frozen"/>
      <selection pane="topRight" activeCell="I23" sqref="I23"/>
    </sheetView>
  </sheetViews>
  <sheetFormatPr defaultRowHeight="13.5"/>
  <cols>
    <col min="1" max="1" width="25.625" style="15" customWidth="1"/>
    <col min="2" max="20" width="10.625" style="15" customWidth="1"/>
    <col min="21" max="21" width="14" style="15" bestFit="1" customWidth="1"/>
    <col min="22" max="22" width="32.125" style="15" bestFit="1" customWidth="1"/>
    <col min="23" max="16384" width="9" style="15"/>
  </cols>
  <sheetData>
    <row r="1" spans="1:22" ht="24.95" customHeight="1">
      <c r="A1" s="54">
        <f ca="1">TODAY()</f>
        <v>41855</v>
      </c>
      <c r="B1" s="275" t="s">
        <v>129</v>
      </c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  <c r="S1" s="271"/>
      <c r="T1" s="271"/>
      <c r="U1" s="100"/>
      <c r="V1" s="101"/>
    </row>
    <row r="2" spans="1:22" ht="30">
      <c r="A2" s="49" t="s">
        <v>49</v>
      </c>
      <c r="B2" s="56" t="s">
        <v>132</v>
      </c>
      <c r="C2" s="56" t="s">
        <v>136</v>
      </c>
      <c r="D2" s="56" t="s">
        <v>255</v>
      </c>
      <c r="E2" s="56" t="s">
        <v>62</v>
      </c>
      <c r="F2" s="56" t="s">
        <v>63</v>
      </c>
      <c r="G2" s="56" t="s">
        <v>24</v>
      </c>
      <c r="H2" s="56" t="s">
        <v>178</v>
      </c>
      <c r="I2" s="56" t="s">
        <v>263</v>
      </c>
      <c r="J2" s="56" t="s">
        <v>84</v>
      </c>
      <c r="K2" s="56" t="s">
        <v>252</v>
      </c>
      <c r="L2" s="56" t="s">
        <v>69</v>
      </c>
      <c r="M2" s="56" t="s">
        <v>76</v>
      </c>
      <c r="N2" s="56" t="s">
        <v>77</v>
      </c>
      <c r="O2" s="56" t="s">
        <v>78</v>
      </c>
      <c r="P2" s="56" t="s">
        <v>1</v>
      </c>
      <c r="Q2" s="56" t="s">
        <v>79</v>
      </c>
      <c r="R2" s="56" t="s">
        <v>131</v>
      </c>
      <c r="S2" s="56" t="s">
        <v>254</v>
      </c>
      <c r="T2" s="56"/>
      <c r="U2" s="102" t="s">
        <v>128</v>
      </c>
      <c r="V2" s="102" t="s">
        <v>67</v>
      </c>
    </row>
    <row r="3" spans="1:22" ht="15">
      <c r="A3" s="49" t="s">
        <v>86</v>
      </c>
      <c r="B3" s="117">
        <v>5.93</v>
      </c>
      <c r="C3" s="56">
        <v>15</v>
      </c>
      <c r="D3" s="56">
        <v>21</v>
      </c>
      <c r="E3" s="56">
        <v>26</v>
      </c>
      <c r="F3" s="56"/>
      <c r="G3" s="56">
        <v>49</v>
      </c>
      <c r="H3" s="278">
        <v>6</v>
      </c>
      <c r="I3" s="279"/>
      <c r="J3" s="56">
        <v>9</v>
      </c>
      <c r="K3" s="56"/>
      <c r="L3" s="56">
        <v>18</v>
      </c>
      <c r="M3" s="56">
        <v>6</v>
      </c>
      <c r="N3" s="56">
        <v>10</v>
      </c>
      <c r="O3" s="56">
        <v>8</v>
      </c>
      <c r="P3" s="56">
        <v>11</v>
      </c>
      <c r="Q3" s="56">
        <v>53</v>
      </c>
      <c r="R3" s="56">
        <v>7</v>
      </c>
      <c r="S3" s="56"/>
      <c r="T3" s="56"/>
      <c r="U3" s="102"/>
      <c r="V3" s="102" t="str">
        <f>"合同总额是"&amp;SUM(B3:T3)&amp;"万元"</f>
        <v>合同总额是244.93万元</v>
      </c>
    </row>
    <row r="4" spans="1:22" ht="16.5">
      <c r="A4" s="49" t="s">
        <v>68</v>
      </c>
      <c r="B4" s="276" t="s">
        <v>26</v>
      </c>
      <c r="C4" s="276"/>
      <c r="D4" s="276"/>
      <c r="E4" s="276"/>
      <c r="F4" s="276"/>
      <c r="G4" s="280" t="s">
        <v>80</v>
      </c>
      <c r="H4" s="281"/>
      <c r="I4" s="281"/>
      <c r="J4" s="281"/>
      <c r="K4" s="282"/>
      <c r="L4" s="277" t="s">
        <v>81</v>
      </c>
      <c r="M4" s="277"/>
      <c r="N4" s="277"/>
      <c r="O4" s="277"/>
      <c r="P4" s="277" t="s">
        <v>82</v>
      </c>
      <c r="Q4" s="277"/>
      <c r="R4" s="277"/>
      <c r="S4" s="153" t="s">
        <v>253</v>
      </c>
      <c r="T4" s="150"/>
      <c r="U4" s="149"/>
      <c r="V4" s="104"/>
    </row>
    <row r="5" spans="1:22" ht="20.100000000000001" customHeight="1">
      <c r="A5" s="143" t="s">
        <v>70</v>
      </c>
      <c r="B5" s="147"/>
      <c r="C5" s="147"/>
      <c r="D5" s="147"/>
      <c r="E5" s="147"/>
      <c r="F5" s="147"/>
      <c r="G5" s="148"/>
      <c r="H5" s="147" t="s">
        <v>217</v>
      </c>
      <c r="I5" s="147"/>
      <c r="J5" s="147"/>
      <c r="K5" s="147"/>
      <c r="L5" s="147"/>
      <c r="M5" s="147"/>
      <c r="N5" s="147"/>
      <c r="O5" s="147"/>
      <c r="P5" s="155"/>
      <c r="Q5" s="155"/>
      <c r="R5" s="155"/>
      <c r="S5" s="155">
        <v>41842</v>
      </c>
      <c r="T5" s="155"/>
      <c r="U5" s="103">
        <f t="shared" ref="U5:U22" si="0">IF(MAX(B5:T5)=0,"占用",MAX(B5:T5))</f>
        <v>41842</v>
      </c>
      <c r="V5" s="104"/>
    </row>
    <row r="6" spans="1:22" ht="20.100000000000001" customHeight="1">
      <c r="A6" s="144" t="s">
        <v>126</v>
      </c>
      <c r="B6" s="145"/>
      <c r="C6" s="145"/>
      <c r="D6" s="146">
        <v>41887</v>
      </c>
      <c r="E6" s="145"/>
      <c r="F6" s="145"/>
      <c r="G6" s="145"/>
      <c r="H6" s="146"/>
      <c r="I6" s="146"/>
      <c r="J6" s="145"/>
      <c r="K6" s="145"/>
      <c r="L6" s="145"/>
      <c r="M6" s="145"/>
      <c r="N6" s="145"/>
      <c r="O6" s="145"/>
      <c r="P6" s="159"/>
      <c r="Q6" s="159">
        <v>41851</v>
      </c>
      <c r="R6" s="159"/>
      <c r="S6" s="159"/>
      <c r="T6" s="159"/>
      <c r="U6" s="103">
        <f t="shared" si="0"/>
        <v>41887</v>
      </c>
      <c r="V6" s="104"/>
    </row>
    <row r="7" spans="1:22" ht="20.100000000000001" customHeight="1">
      <c r="A7" s="152" t="s">
        <v>160</v>
      </c>
      <c r="B7" s="156"/>
      <c r="C7" s="156"/>
      <c r="D7" s="156"/>
      <c r="E7" s="156"/>
      <c r="F7" s="156"/>
      <c r="G7" s="156"/>
      <c r="H7" s="156" t="s">
        <v>217</v>
      </c>
      <c r="I7" s="156"/>
      <c r="J7" s="156"/>
      <c r="K7" s="156">
        <v>41859</v>
      </c>
      <c r="L7" s="156"/>
      <c r="M7" s="156"/>
      <c r="N7" s="156"/>
      <c r="O7" s="156"/>
      <c r="P7" s="160"/>
      <c r="Q7" s="160"/>
      <c r="R7" s="160"/>
      <c r="S7" s="160"/>
      <c r="T7" s="160"/>
      <c r="U7" s="103">
        <f t="shared" si="0"/>
        <v>41859</v>
      </c>
      <c r="V7" s="104"/>
    </row>
    <row r="8" spans="1:22" ht="20.100000000000001" customHeight="1">
      <c r="A8" s="152" t="s">
        <v>222</v>
      </c>
      <c r="B8" s="156"/>
      <c r="C8" s="156"/>
      <c r="D8" s="156"/>
      <c r="E8" s="156"/>
      <c r="F8" s="156"/>
      <c r="G8" s="156"/>
      <c r="H8" s="156" t="s">
        <v>217</v>
      </c>
      <c r="I8" s="156"/>
      <c r="J8" s="156"/>
      <c r="K8" s="156"/>
      <c r="L8" s="156"/>
      <c r="M8" s="156"/>
      <c r="N8" s="156"/>
      <c r="O8" s="156"/>
      <c r="P8" s="160"/>
      <c r="Q8" s="160"/>
      <c r="R8" s="160"/>
      <c r="S8" s="160"/>
      <c r="T8" s="160"/>
      <c r="U8" s="103" t="str">
        <f t="shared" si="0"/>
        <v>占用</v>
      </c>
      <c r="V8" s="104"/>
    </row>
    <row r="9" spans="1:22" ht="20.100000000000001" customHeight="1">
      <c r="A9" s="50" t="s">
        <v>113</v>
      </c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161"/>
      <c r="Q9" s="161">
        <v>41835</v>
      </c>
      <c r="R9" s="161">
        <v>41859</v>
      </c>
      <c r="S9" s="161"/>
      <c r="T9" s="161"/>
      <c r="U9" s="103">
        <f t="shared" si="0"/>
        <v>41859</v>
      </c>
      <c r="V9" s="104"/>
    </row>
    <row r="10" spans="1:22" ht="20.100000000000001" customHeight="1">
      <c r="A10" s="50" t="s">
        <v>156</v>
      </c>
      <c r="B10" s="53"/>
      <c r="C10" s="53"/>
      <c r="D10" s="53">
        <v>41887</v>
      </c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161"/>
      <c r="Q10" s="161"/>
      <c r="R10" s="161"/>
      <c r="S10" s="161"/>
      <c r="T10" s="161"/>
      <c r="U10" s="103">
        <f t="shared" si="0"/>
        <v>41887</v>
      </c>
      <c r="V10" s="104"/>
    </row>
    <row r="11" spans="1:22" ht="20.100000000000001" customHeight="1">
      <c r="A11" s="144" t="s">
        <v>75</v>
      </c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59"/>
      <c r="Q11" s="159">
        <v>41835</v>
      </c>
      <c r="R11" s="159">
        <v>41859</v>
      </c>
      <c r="S11" s="159"/>
      <c r="T11" s="159"/>
      <c r="U11" s="103">
        <f t="shared" ref="U11:U13" si="1">IF(MAX(B11:T11)=0,"占用",MAX(B11:T11))</f>
        <v>41859</v>
      </c>
      <c r="V11" s="104"/>
    </row>
    <row r="12" spans="1:22" ht="20.100000000000001" customHeight="1">
      <c r="A12" s="50" t="s">
        <v>224</v>
      </c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>
        <v>41882</v>
      </c>
      <c r="M12" s="53"/>
      <c r="N12" s="53"/>
      <c r="O12" s="53"/>
      <c r="P12" s="161"/>
      <c r="Q12" s="161"/>
      <c r="R12" s="161"/>
      <c r="S12" s="161"/>
      <c r="T12" s="161"/>
      <c r="U12" s="103">
        <f t="shared" si="1"/>
        <v>41882</v>
      </c>
      <c r="V12" s="104"/>
    </row>
    <row r="13" spans="1:22" ht="20.100000000000001" customHeight="1">
      <c r="A13" s="50" t="s">
        <v>73</v>
      </c>
      <c r="B13" s="53"/>
      <c r="C13" s="53"/>
      <c r="D13" s="53"/>
      <c r="E13" s="53">
        <v>41851</v>
      </c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161"/>
      <c r="Q13" s="161"/>
      <c r="R13" s="161"/>
      <c r="S13" s="161"/>
      <c r="T13" s="161"/>
      <c r="U13" s="103">
        <f t="shared" si="1"/>
        <v>41851</v>
      </c>
      <c r="V13" s="105"/>
    </row>
    <row r="14" spans="1:22" ht="20.100000000000001" customHeight="1">
      <c r="A14" s="50" t="s">
        <v>115</v>
      </c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161"/>
      <c r="Q14" s="161">
        <v>41835</v>
      </c>
      <c r="R14" s="161">
        <v>41859</v>
      </c>
      <c r="S14" s="161"/>
      <c r="T14" s="161"/>
      <c r="U14" s="103">
        <f t="shared" ref="U14:U21" si="2">IF(MAX(B14:T14)=0,"占用",MAX(B14:T14))</f>
        <v>41859</v>
      </c>
      <c r="V14" s="105"/>
    </row>
    <row r="15" spans="1:22" ht="20.100000000000001" customHeight="1">
      <c r="A15" s="50" t="s">
        <v>71</v>
      </c>
      <c r="B15" s="53"/>
      <c r="C15" s="53"/>
      <c r="D15" s="53"/>
      <c r="E15" s="53"/>
      <c r="F15" s="53"/>
      <c r="G15" s="53"/>
      <c r="H15" s="53"/>
      <c r="I15" s="53"/>
      <c r="J15" s="53">
        <v>41863</v>
      </c>
      <c r="K15" s="53"/>
      <c r="L15" s="53"/>
      <c r="M15" s="53"/>
      <c r="N15" s="53"/>
      <c r="O15" s="53"/>
      <c r="P15" s="161"/>
      <c r="Q15" s="161"/>
      <c r="R15" s="161"/>
      <c r="S15" s="161"/>
      <c r="T15" s="161"/>
      <c r="U15" s="103">
        <f t="shared" si="2"/>
        <v>41863</v>
      </c>
      <c r="V15" s="104"/>
    </row>
    <row r="16" spans="1:22" ht="20.100000000000001" customHeight="1">
      <c r="A16" s="144" t="s">
        <v>72</v>
      </c>
      <c r="B16" s="146"/>
      <c r="C16" s="146"/>
      <c r="D16" s="146"/>
      <c r="E16" s="146"/>
      <c r="F16" s="146"/>
      <c r="G16" s="146"/>
      <c r="H16" s="146">
        <v>41845</v>
      </c>
      <c r="I16" s="146"/>
      <c r="J16" s="146">
        <v>41864</v>
      </c>
      <c r="K16" s="146"/>
      <c r="L16" s="146"/>
      <c r="M16" s="146"/>
      <c r="N16" s="146">
        <v>41836</v>
      </c>
      <c r="O16" s="146"/>
      <c r="P16" s="159"/>
      <c r="Q16" s="159"/>
      <c r="R16" s="159"/>
      <c r="S16" s="159"/>
      <c r="T16" s="159"/>
      <c r="U16" s="103">
        <f t="shared" si="2"/>
        <v>41864</v>
      </c>
      <c r="V16" s="105"/>
    </row>
    <row r="17" spans="1:22" ht="20.100000000000001" customHeight="1">
      <c r="A17" s="50" t="s">
        <v>221</v>
      </c>
      <c r="B17" s="53"/>
      <c r="C17" s="53"/>
      <c r="D17" s="53"/>
      <c r="E17" s="53"/>
      <c r="F17" s="53"/>
      <c r="G17" s="53"/>
      <c r="H17" s="53">
        <v>41852</v>
      </c>
      <c r="I17" s="53"/>
      <c r="J17" s="53"/>
      <c r="K17" s="53"/>
      <c r="L17" s="53"/>
      <c r="M17" s="53"/>
      <c r="N17" s="53"/>
      <c r="O17" s="53"/>
      <c r="P17" s="161"/>
      <c r="Q17" s="161"/>
      <c r="R17" s="161"/>
      <c r="S17" s="161"/>
      <c r="T17" s="161"/>
      <c r="U17" s="103">
        <f t="shared" si="2"/>
        <v>41852</v>
      </c>
      <c r="V17" s="105"/>
    </row>
    <row r="18" spans="1:22" ht="20.100000000000001" customHeight="1">
      <c r="A18" s="50" t="s">
        <v>74</v>
      </c>
      <c r="B18" s="53"/>
      <c r="C18" s="53"/>
      <c r="D18" s="53"/>
      <c r="E18" s="53"/>
      <c r="F18" s="53"/>
      <c r="G18" s="53"/>
      <c r="H18" s="53"/>
      <c r="I18" s="53"/>
      <c r="J18" s="53">
        <v>41873</v>
      </c>
      <c r="K18" s="53"/>
      <c r="L18" s="53"/>
      <c r="M18" s="53"/>
      <c r="N18" s="53"/>
      <c r="O18" s="53"/>
      <c r="P18" s="161"/>
      <c r="Q18" s="161"/>
      <c r="R18" s="161"/>
      <c r="S18" s="161"/>
      <c r="T18" s="161"/>
      <c r="U18" s="103">
        <f t="shared" si="2"/>
        <v>41873</v>
      </c>
      <c r="V18" s="105"/>
    </row>
    <row r="19" spans="1:22" ht="20.100000000000001" customHeight="1">
      <c r="A19" s="50" t="s">
        <v>157</v>
      </c>
      <c r="B19" s="53"/>
      <c r="C19" s="53"/>
      <c r="D19" s="53"/>
      <c r="E19" s="53"/>
      <c r="F19" s="53"/>
      <c r="G19" s="53"/>
      <c r="H19" s="53"/>
      <c r="I19" s="53"/>
      <c r="J19" s="53">
        <v>41864</v>
      </c>
      <c r="K19" s="53"/>
      <c r="L19" s="53"/>
      <c r="M19" s="53"/>
      <c r="N19" s="53"/>
      <c r="O19" s="53"/>
      <c r="P19" s="161"/>
      <c r="Q19" s="161"/>
      <c r="R19" s="161"/>
      <c r="S19" s="161"/>
      <c r="T19" s="161"/>
      <c r="U19" s="103">
        <f t="shared" si="2"/>
        <v>41864</v>
      </c>
      <c r="V19" s="105"/>
    </row>
    <row r="20" spans="1:22" ht="20.100000000000001" customHeight="1">
      <c r="A20" s="50" t="s">
        <v>158</v>
      </c>
      <c r="B20" s="53"/>
      <c r="C20" s="53"/>
      <c r="D20" s="53"/>
      <c r="E20" s="53"/>
      <c r="F20" s="53"/>
      <c r="G20" s="53"/>
      <c r="H20" s="53"/>
      <c r="I20" s="53"/>
      <c r="J20" s="53">
        <v>41864</v>
      </c>
      <c r="K20" s="53"/>
      <c r="L20" s="53"/>
      <c r="M20" s="53"/>
      <c r="N20" s="53"/>
      <c r="O20" s="53"/>
      <c r="P20" s="161"/>
      <c r="Q20" s="161"/>
      <c r="R20" s="161"/>
      <c r="S20" s="161"/>
      <c r="T20" s="161"/>
      <c r="U20" s="103">
        <f t="shared" si="2"/>
        <v>41864</v>
      </c>
      <c r="V20" s="105"/>
    </row>
    <row r="21" spans="1:22" ht="20.100000000000001" customHeight="1">
      <c r="A21" s="152" t="s">
        <v>159</v>
      </c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60"/>
      <c r="Q21" s="160"/>
      <c r="R21" s="160"/>
      <c r="S21" s="160"/>
      <c r="T21" s="160"/>
      <c r="U21" s="103" t="str">
        <f t="shared" si="2"/>
        <v>占用</v>
      </c>
      <c r="V21" s="105"/>
    </row>
    <row r="22" spans="1:22" ht="20.100000000000001" customHeight="1">
      <c r="A22" s="144" t="s">
        <v>226</v>
      </c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>
        <v>41851</v>
      </c>
      <c r="P22" s="161"/>
      <c r="Q22" s="161"/>
      <c r="R22" s="161"/>
      <c r="S22" s="161"/>
      <c r="T22" s="161"/>
      <c r="U22" s="103">
        <f t="shared" si="0"/>
        <v>41851</v>
      </c>
      <c r="V22" s="105"/>
    </row>
    <row r="23" spans="1:22" s="52" customFormat="1" ht="16.5">
      <c r="A23" s="51" t="s">
        <v>83</v>
      </c>
      <c r="B23" s="98"/>
      <c r="C23" s="98">
        <v>41803</v>
      </c>
      <c r="D23" s="98"/>
      <c r="E23" s="98"/>
      <c r="F23" s="98"/>
      <c r="G23" s="98">
        <v>41787</v>
      </c>
      <c r="H23" s="96" t="s">
        <v>267</v>
      </c>
      <c r="I23" s="96" t="s">
        <v>170</v>
      </c>
      <c r="J23" s="96">
        <v>41865</v>
      </c>
      <c r="K23" s="98">
        <v>41787</v>
      </c>
      <c r="L23" s="98">
        <v>41850</v>
      </c>
      <c r="M23" s="98">
        <v>41771</v>
      </c>
      <c r="N23" s="98"/>
      <c r="O23" s="98">
        <v>41853</v>
      </c>
      <c r="P23" s="162">
        <v>41787</v>
      </c>
      <c r="Q23" s="162">
        <v>41835</v>
      </c>
      <c r="R23" s="162">
        <v>41852</v>
      </c>
      <c r="S23" s="162">
        <v>41842</v>
      </c>
      <c r="T23" s="161"/>
      <c r="U23" s="106"/>
      <c r="V23" s="107"/>
    </row>
    <row r="24" spans="1:22"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</row>
  </sheetData>
  <mergeCells count="6">
    <mergeCell ref="B1:T1"/>
    <mergeCell ref="B4:F4"/>
    <mergeCell ref="L4:O4"/>
    <mergeCell ref="H3:I3"/>
    <mergeCell ref="P4:R4"/>
    <mergeCell ref="G4:K4"/>
  </mergeCells>
  <phoneticPr fontId="18" type="noConversion"/>
  <conditionalFormatting sqref="U4">
    <cfRule type="dataBar" priority="24">
      <dataBar>
        <cfvo type="num" val="0"/>
        <cfvo type="formula" val="$L$4-$J$4"/>
        <color rgb="FF00B0F0"/>
      </dataBar>
      <extLst>
        <ext xmlns:x14="http://schemas.microsoft.com/office/spreadsheetml/2009/9/main" uri="{B025F937-C7B1-47D3-B67F-A62EFF666E3E}">
          <x14:id>{95E9731F-2E54-4665-8AAC-D236C388CC34}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E9731F-2E54-4665-8AAC-D236C388CC34}">
            <x14:dataBar minLength="0" maxLength="100" gradient="0">
              <x14:cfvo type="num">
                <xm:f>0</xm:f>
              </x14:cfvo>
              <x14:cfvo type="formula">
                <xm:f>$L$4-$J$4</xm:f>
              </x14:cfvo>
              <x14:negativeFillColor rgb="FFFF0000"/>
              <x14:axisColor rgb="FF000000"/>
            </x14:dataBar>
          </x14:cfRule>
          <xm:sqref>U4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项目基本状态</vt:lpstr>
      <vt:lpstr>人力使用</vt:lpstr>
      <vt:lpstr>项目资源及状态</vt:lpstr>
      <vt:lpstr>项目占用人员明细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2014-08-04T03:24:26Z</dcterms:modified>
</cp:coreProperties>
</file>